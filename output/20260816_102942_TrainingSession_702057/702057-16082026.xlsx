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702057</t>
        </is>
      </c>
      <c r="B2" t="inlineStr">
        <is>
          <t>16082026</t>
        </is>
      </c>
      <c r="C2">
        <f>IFERROR(AVERAGEIF('Training Runs'!$C:$C,"*auditory*",'Training Runs'!$H:$H),"")</f>
      </c>
      <c r="D2">
        <f>IFERROR(AVERAGEIF('Training Runs'!$C:$C,"*visual*",'Training Runs'!$H:$H),"")</f>
      </c>
      <c r="E2" t="inlineStr">
        <is>
          <t>2026-08-16 10:29:42</t>
        </is>
      </c>
      <c r="F2" t="inlineStr">
        <is>
          <t>2026-08-16 10:29:44</t>
        </is>
      </c>
      <c r="G2">
        <v>0.7</v>
      </c>
      <c r="H2"/>
      <c r="I2"/>
      <c r="J2"/>
      <c r="K2"/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20" customWidth="1"/>
    <col min="5" max="5" width="10" customWidth="1"/>
    <col min="6" max="6" width="22" customWidth="1"/>
    <col min="7" max="7" width="22" customWidth="1"/>
    <col min="8" max="8" width="16" customWidth="1"/>
    <col min="9" max="9" width="16" customWidth="1"/>
    <col min="10" max="10" width="18" customWidth="1"/>
    <col min="11" max="11" width="18" customWidth="1"/>
    <col min="12" max="12" width="16" customWidth="1"/>
    <col min="13" max="13" width="24" customWidth="1"/>
    <col min="14" max="14" width="18" customWidth="1"/>
    <col min="15" max="15" width="26" customWidth="1"/>
    <col min="16" max="16" width="22" customWidth="1"/>
    <col min="17" max="17" width="18" customWidth="1"/>
    <col min="18" max="18" width="24" customWidth="1"/>
    <col min="19" max="19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training scene</t>
        </is>
      </c>
      <c r="E1" t="inlineStr" s="1">
        <is>
          <t>run</t>
        </is>
      </c>
      <c r="F1" t="inlineStr" s="1">
        <is>
          <t>started timestamp</t>
        </is>
      </c>
      <c r="G1" t="inlineStr" s="1">
        <is>
          <t>ended timestamp</t>
        </is>
      </c>
      <c r="H1" t="inlineStr" s="1">
        <is>
          <t>duration seconds</t>
        </is>
      </c>
      <c r="I1" t="inlineStr" s="1">
        <is>
          <t>focused seconds</t>
        </is>
      </c>
      <c r="J1" t="inlineStr" s="1">
        <is>
          <t>focused percentage</t>
        </is>
      </c>
      <c r="K1" t="inlineStr" s="1">
        <is>
          <t>auditory run index</t>
        </is>
      </c>
      <c r="L1" t="inlineStr" s="1">
        <is>
          <t>visual run index</t>
        </is>
      </c>
      <c r="M1" t="inlineStr" s="1">
        <is>
          <t>auditory weighted sum</t>
        </is>
      </c>
      <c r="N1" t="inlineStr" s="1">
        <is>
          <t>auditory weight sum</t>
        </is>
      </c>
      <c r="O1" t="inlineStr" s="1">
        <is>
          <t>auditory weighted average</t>
        </is>
      </c>
      <c r="P1" t="inlineStr" s="1">
        <is>
          <t>visual weighted sum</t>
        </is>
      </c>
      <c r="Q1" t="inlineStr" s="1">
        <is>
          <t>visual weight sum</t>
        </is>
      </c>
      <c r="R1" t="inlineStr" s="1">
        <is>
          <t>visual weighted average</t>
        </is>
      </c>
      <c r="S1" t="inlineStr" s="1">
        <is>
          <t>hrv threshold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2026-08-15T22:29:44.9906888Z</dcterms:created>
  <dcterms:modified xsi:type="dcterms:W3CDTF">2026-08-15T22:29:44.9906888Z</dcterms:modified>
</cp:coreProperties>
</file>