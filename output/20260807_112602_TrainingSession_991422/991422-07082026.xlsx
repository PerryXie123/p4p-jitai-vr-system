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ssion Summary" sheetId="1" r:id="rId1"/>
    <sheet name="Training Runs" sheetId="2" r:id="rId2"/>
  </sheets>
  <calcPr calcMode="auto" fullCalcOnLoad="1" forceFullCalc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6" customWidth="1"/>
    <col min="3" max="3" width="24" customWidth="1"/>
    <col min="4" max="4" width="22" customWidth="1"/>
    <col min="5" max="5" width="20" customWidth="1"/>
    <col min="6" max="6" width="20" customWidth="1"/>
    <col min="7" max="7" width="14" customWidth="1"/>
    <col min="8" max="8" width="24" customWidth="1"/>
    <col min="9" max="9" width="20" customWidth="1"/>
    <col min="10" max="10" width="24" customWidth="1"/>
    <col min="11" max="11" width="20" customWidth="1"/>
  </cols>
  <sheetData>
    <row r="1">
      <c r="A1" t="inlineStr" s="1">
        <is>
          <t>session id</t>
        </is>
      </c>
      <c r="B1" t="inlineStr" s="1">
        <is>
          <t>date</t>
        </is>
      </c>
      <c r="C1" t="inlineStr" s="1">
        <is>
          <t>auditory training length</t>
        </is>
      </c>
      <c r="D1" t="inlineStr" s="1">
        <is>
          <t>visual training length</t>
        </is>
      </c>
      <c r="E1" t="inlineStr" s="1">
        <is>
          <t>started</t>
        </is>
      </c>
      <c r="F1" t="inlineStr" s="1">
        <is>
          <t>last updated</t>
        </is>
      </c>
      <c r="G1" t="inlineStr" s="1">
        <is>
          <t>decay d</t>
        </is>
      </c>
      <c r="H1" t="inlineStr" s="1">
        <is>
          <t>auditory weighted sum</t>
        </is>
      </c>
      <c r="I1" t="inlineStr" s="1">
        <is>
          <t>auditory weight sum</t>
        </is>
      </c>
      <c r="J1" t="inlineStr" s="1">
        <is>
          <t>visual weighted sum</t>
        </is>
      </c>
      <c r="K1" t="inlineStr" s="1">
        <is>
          <t>visual weight sum</t>
        </is>
      </c>
    </row>
    <row r="2">
      <c r="A2" t="inlineStr">
        <is>
          <t>991422</t>
        </is>
      </c>
      <c r="B2" t="inlineStr">
        <is>
          <t>07082026</t>
        </is>
      </c>
      <c r="C2">
        <f>IFERROR(AVERAGEIF('Training Runs'!$C:$C,"*auditory*",'Training Runs'!$G:$G),"")</f>
        <v>3</v>
      </c>
      <c r="D2">
        <f>IFERROR(AVERAGEIF('Training Runs'!$C:$C,"*visual*",'Training Runs'!$G:$G),"")</f>
      </c>
      <c r="E2" t="inlineStr">
        <is>
          <t>2026-08-07 11:26:02</t>
        </is>
      </c>
      <c r="F2" t="inlineStr">
        <is>
          <t>2026-08-07 11:26:02</t>
        </is>
      </c>
      <c r="G2">
        <v>0.7</v>
      </c>
      <c r="H2">
        <f>'Training Runs'!L2</f>
        <v>61.93439</v>
      </c>
      <c r="I2">
        <f>'Training Runs'!M2</f>
        <v>1</v>
      </c>
      <c r="J2">
        <f>'Training Runs'!O2</f>
        <v>0</v>
      </c>
      <c r="K2">
        <f>'Training Runs'!P2</f>
        <v>0</v>
      </c>
    </row>
    <row r="6">
      <c r="A6"/>
      <c r="B6" t="inlineStr" s="1">
        <is>
          <t>auditory accuracy</t>
        </is>
      </c>
      <c r="C6" t="inlineStr" s="1">
        <is>
          <t>visual accuracy</t>
        </is>
      </c>
      <c r="D6" t="inlineStr" s="1">
        <is>
          <t>auditory weighted</t>
        </is>
      </c>
      <c r="E6" t="inlineStr" s="1">
        <is>
          <t>visual weighted</t>
        </is>
      </c>
      <c r="F6" t="inlineStr" s="1">
        <is>
          <t>timestamp</t>
        </is>
      </c>
    </row>
    <row r="7">
      <c r="A7"/>
      <c r="B7">
        <f>IF(ISNUMBER(SEARCH("auditory",'Training Runs'!C2)),'Training Runs'!I2,"")</f>
        <v>61.93439</v>
      </c>
      <c r="C7">
        <f>IF(ISNUMBER(SEARCH("visual",'Training Runs'!C2)),'Training Runs'!I2,"")</f>
      </c>
      <c r="D7">
        <f>'Training Runs'!N2</f>
        <v>61.93439</v>
      </c>
      <c r="E7">
        <f>'Training Runs'!Q2</f>
      </c>
      <c r="F7" t="inlineStr">
        <is>
          <t>11:26:02</t>
        </is>
      </c>
    </row>
    <row r="9">
      <c r="A9" t="inlineStr" s="1">
        <is>
          <t>Raw average</t>
        </is>
      </c>
      <c r="B9">
        <f>IFERROR(AVERAGEIF('Training Runs'!$C:$C,"*auditory*",'Training Runs'!$I:$I),"")</f>
        <v>61.93439</v>
      </c>
      <c r="C9">
        <f>IFERROR(AVERAGEIF('Training Runs'!$C:$C,"*visual*",'Training Runs'!$I:$I),"")</f>
      </c>
      <c r="D9"/>
      <c r="E9"/>
      <c r="F9"/>
    </row>
    <row r="10">
      <c r="A10" t="inlineStr" s="1">
        <is>
          <t>Weighted average</t>
        </is>
      </c>
      <c r="B10"/>
      <c r="C10"/>
      <c r="D10">
        <f>'Training Runs'!N2</f>
        <v>61.93439</v>
      </c>
      <c r="E10">
        <f>'Training Runs'!Q2</f>
      </c>
      <c r="F10"/>
    </row>
  </sheetData>
</worksheet>
</file>

<file path=xl/worksheets/sheet2.xml><?xml version="1.0" encoding="utf-8"?>
<worksheet xmlns="http://schemas.openxmlformats.org/spreadsheetml/2006/main">
  <cols>
    <col min="1" max="1" width="14" customWidth="1"/>
    <col min="2" max="2" width="12" customWidth="1"/>
    <col min="3" max="3" width="18" customWidth="1"/>
    <col min="4" max="4" width="10" customWidth="1"/>
    <col min="5" max="5" width="22" customWidth="1"/>
    <col min="6" max="6" width="22" customWidth="1"/>
    <col min="7" max="7" width="16" customWidth="1"/>
    <col min="8" max="8" width="16" customWidth="1"/>
    <col min="9" max="9" width="18" customWidth="1"/>
    <col min="10" max="10" width="18" customWidth="1"/>
    <col min="11" max="11" width="16" customWidth="1"/>
    <col min="12" max="12" width="24" customWidth="1"/>
    <col min="13" max="13" width="18" customWidth="1"/>
    <col min="14" max="14" width="26" customWidth="1"/>
    <col min="15" max="15" width="22" customWidth="1"/>
    <col min="16" max="16" width="18" customWidth="1"/>
    <col min="17" max="17" width="24" customWidth="1"/>
    <col min="18" max="18" width="14" customWidth="1"/>
  </cols>
  <sheetData>
    <row r="1">
      <c r="A1" t="inlineStr" s="1">
        <is>
          <t>session id</t>
        </is>
      </c>
      <c r="B1" t="inlineStr" s="1">
        <is>
          <t>date</t>
        </is>
      </c>
      <c r="C1" t="inlineStr" s="1">
        <is>
          <t>training type</t>
        </is>
      </c>
      <c r="D1" t="inlineStr" s="1">
        <is>
          <t>run</t>
        </is>
      </c>
      <c r="E1" t="inlineStr" s="1">
        <is>
          <t>started timestamp</t>
        </is>
      </c>
      <c r="F1" t="inlineStr" s="1">
        <is>
          <t>ended timestamp</t>
        </is>
      </c>
      <c r="G1" t="inlineStr" s="1">
        <is>
          <t>duration seconds</t>
        </is>
      </c>
      <c r="H1" t="inlineStr" s="1">
        <is>
          <t>focused seconds</t>
        </is>
      </c>
      <c r="I1" t="inlineStr" s="1">
        <is>
          <t>focused percentage</t>
        </is>
      </c>
      <c r="J1" t="inlineStr" s="1">
        <is>
          <t>auditory run index</t>
        </is>
      </c>
      <c r="K1" t="inlineStr" s="1">
        <is>
          <t>visual run index</t>
        </is>
      </c>
      <c r="L1" t="inlineStr" s="1">
        <is>
          <t>auditory weighted sum</t>
        </is>
      </c>
      <c r="M1" t="inlineStr" s="1">
        <is>
          <t>auditory weight sum</t>
        </is>
      </c>
      <c r="N1" t="inlineStr" s="1">
        <is>
          <t>auditory weighted average</t>
        </is>
      </c>
      <c r="O1" t="inlineStr" s="1">
        <is>
          <t>visual weighted sum</t>
        </is>
      </c>
      <c r="P1" t="inlineStr" s="1">
        <is>
          <t>visual weight sum</t>
        </is>
      </c>
      <c r="Q1" t="inlineStr" s="1">
        <is>
          <t>visual weighted average</t>
        </is>
      </c>
      <c r="R1" t="inlineStr" s="1">
        <is>
          <t>hrv threshold</t>
        </is>
      </c>
    </row>
    <row r="2">
      <c r="A2" t="inlineStr">
        <is>
          <t>991422</t>
        </is>
      </c>
      <c r="B2" t="inlineStr">
        <is>
          <t>07082026</t>
        </is>
      </c>
      <c r="C2" t="inlineStr">
        <is>
          <t>AuditoryTraining</t>
        </is>
      </c>
      <c r="D2">
        <v>1</v>
      </c>
      <c r="E2" t="inlineStr">
        <is>
          <t>2026-08-07 11:25:59</t>
        </is>
      </c>
      <c r="F2" t="inlineStr">
        <is>
          <t>2026-08-07 11:26:02</t>
        </is>
      </c>
      <c r="G2">
        <v>3</v>
      </c>
      <c r="H2">
        <v>1.86</v>
      </c>
      <c r="I2">
        <f>IF(G2=0,0,H2/G2*100)</f>
        <v>61.93439</v>
      </c>
      <c r="J2">
        <f>IF(ISNUMBER(SEARCH("auditory",C2)),COUNTIF($C$2:C2,"*auditory*"),"")</f>
        <v>1</v>
      </c>
      <c r="K2">
        <f>IF(ISNUMBER(SEARCH("visual",C2)),COUNTIF($C$2:C2,"*visual*"),"")</f>
      </c>
      <c r="L2">
        <f>IF(ISNUMBER(SEARCH("auditory",C2)),I2,0)</f>
        <v>61.93439</v>
      </c>
      <c r="M2">
        <f>IF(ISNUMBER(SEARCH("auditory",C2)),1,0)</f>
        <v>1</v>
      </c>
      <c r="N2">
        <f>IF(M2=0,"",L2/M2)</f>
        <v>61.93439</v>
      </c>
      <c r="O2">
        <f>IF(ISNUMBER(SEARCH("visual",C2)),I2,0)</f>
        <v>0</v>
      </c>
      <c r="P2">
        <f>IF(ISNUMBER(SEARCH("visual",C2)),1,0)</f>
        <v>0</v>
      </c>
      <c r="Q2">
        <f>IF(P2=0,"",O2/P2)</f>
      </c>
      <c r="R2">
        <v>0.5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Unity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Training session summary</dc:title>
  <dc:creator>Unity Training Session Logger</dc:creator>
  <dcterms:created xsi:type="dcterms:W3CDTF">2026-08-06T23:36:07.8988333Z</dcterms:created>
  <dcterms:modified xsi:type="dcterms:W3CDTF">2026-08-06T23:36:07.8988333Z</dcterms:modified>
</cp:coreProperties>
</file>