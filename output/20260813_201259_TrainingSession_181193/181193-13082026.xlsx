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181193</t>
        </is>
      </c>
      <c r="B2" t="inlineStr">
        <is>
          <t>13082026</t>
        </is>
      </c>
      <c r="C2">
        <f>IFERROR(AVERAGEIF('Training Runs'!$C:$C,"*auditory*",'Training Runs'!$G:$G),"")</f>
      </c>
      <c r="D2">
        <f>IFERROR(AVERAGEIF('Training Runs'!$C:$C,"*visual*",'Training Runs'!$G:$G),"")</f>
        <v>24.2063</v>
      </c>
      <c r="E2" t="inlineStr">
        <is>
          <t>2026-08-13 20:12:59</t>
        </is>
      </c>
      <c r="F2" t="inlineStr">
        <is>
          <t>2026-08-13 20:14:11</t>
        </is>
      </c>
      <c r="G2">
        <v>0.7</v>
      </c>
      <c r="H2">
        <f>'Training Runs'!L3</f>
        <v>0</v>
      </c>
      <c r="I2">
        <f>'Training Runs'!M3</f>
        <v>0</v>
      </c>
      <c r="J2">
        <f>'Training Runs'!O3</f>
        <v>107.262</v>
      </c>
      <c r="K2">
        <f>'Training Runs'!P3</f>
        <v>1.7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Runs'!I2,"")</f>
      </c>
      <c r="C7">
        <f>IF(ISNUMBER(SEARCH("visual",'Training Runs'!C2)),'Training Runs'!I2,"")</f>
        <v>63.67773</v>
      </c>
      <c r="D7">
        <f>'Training Runs'!N2</f>
      </c>
      <c r="E7">
        <f>'Training Runs'!Q2</f>
        <v>63.67773</v>
      </c>
      <c r="F7" t="inlineStr">
        <is>
          <t>20:12:59</t>
        </is>
      </c>
    </row>
    <row r="8">
      <c r="A8"/>
      <c r="B8">
        <f>IF(ISNUMBER(SEARCH("auditory",'Training Runs'!C3)),'Training Runs'!I3,"")</f>
      </c>
      <c r="C8">
        <f>IF(ISNUMBER(SEARCH("visual",'Training Runs'!C3)),'Training Runs'!I3,"")</f>
        <v>62.68755</v>
      </c>
      <c r="D8">
        <f>'Training Runs'!N3</f>
      </c>
      <c r="E8">
        <f>'Training Runs'!Q3</f>
        <v>63.09526</v>
      </c>
      <c r="F8" t="inlineStr">
        <is>
          <t>20:14:11</t>
        </is>
      </c>
    </row>
    <row r="10">
      <c r="A10" t="inlineStr" s="1">
        <is>
          <t>Raw average</t>
        </is>
      </c>
      <c r="B10">
        <f>IFERROR(AVERAGEIF('Training Runs'!$C:$C,"*auditory*",'Training Runs'!$I:$I),"")</f>
      </c>
      <c r="C10">
        <f>IFERROR(AVERAGEIF('Training Runs'!$C:$C,"*visual*",'Training Runs'!$I:$I),"")</f>
        <v>63.18264</v>
      </c>
      <c r="D10"/>
      <c r="E10"/>
      <c r="F10"/>
    </row>
    <row r="11">
      <c r="A11" t="inlineStr" s="1">
        <is>
          <t>Weighted average</t>
        </is>
      </c>
      <c r="B11"/>
      <c r="C11"/>
      <c r="D11">
        <f>'Training Runs'!N3</f>
      </c>
      <c r="E11">
        <f>'Training Runs'!Q3</f>
        <v>63.09526</v>
      </c>
      <c r="F11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18" customWidth="1"/>
    <col min="11" max="11" width="16" customWidth="1"/>
    <col min="12" max="12" width="24" customWidth="1"/>
    <col min="13" max="13" width="18" customWidth="1"/>
    <col min="14" max="14" width="26" customWidth="1"/>
    <col min="15" max="15" width="22" customWidth="1"/>
    <col min="16" max="16" width="18" customWidth="1"/>
    <col min="17" max="17" width="24" customWidth="1"/>
    <col min="18" max="18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auditory run index</t>
        </is>
      </c>
      <c r="K1" t="inlineStr" s="1">
        <is>
          <t>visual run index</t>
        </is>
      </c>
      <c r="L1" t="inlineStr" s="1">
        <is>
          <t>auditory weighted sum</t>
        </is>
      </c>
      <c r="M1" t="inlineStr" s="1">
        <is>
          <t>auditory weight sum</t>
        </is>
      </c>
      <c r="N1" t="inlineStr" s="1">
        <is>
          <t>auditory weighted average</t>
        </is>
      </c>
      <c r="O1" t="inlineStr" s="1">
        <is>
          <t>visual weighted sum</t>
        </is>
      </c>
      <c r="P1" t="inlineStr" s="1">
        <is>
          <t>visual weight sum</t>
        </is>
      </c>
      <c r="Q1" t="inlineStr" s="1">
        <is>
          <t>visual weighted average</t>
        </is>
      </c>
      <c r="R1" t="inlineStr" s="1">
        <is>
          <t>hrv threshold</t>
        </is>
      </c>
    </row>
    <row r="2">
      <c r="A2" t="inlineStr">
        <is>
          <t>181193</t>
        </is>
      </c>
      <c r="B2" t="inlineStr">
        <is>
          <t>13082026</t>
        </is>
      </c>
      <c r="C2" t="inlineStr">
        <is>
          <t>VisualTraining</t>
        </is>
      </c>
      <c r="D2">
        <v>1</v>
      </c>
      <c r="E2" t="inlineStr">
        <is>
          <t>2026-08-13 20:12:29</t>
        </is>
      </c>
      <c r="F2" t="inlineStr">
        <is>
          <t>2026-08-13 20:12:59</t>
        </is>
      </c>
      <c r="G2">
        <v>30</v>
      </c>
      <c r="H2">
        <v>19.1</v>
      </c>
      <c r="I2">
        <f>IF(G2=0,0,H2/G2*100)</f>
        <v>63.67773</v>
      </c>
      <c r="J2">
        <f>IF(ISNUMBER(SEARCH("auditory",C2)),COUNTIF($C$2:C2,"*auditory*"),"")</f>
      </c>
      <c r="K2">
        <f>IF(ISNUMBER(SEARCH("visual",C2)),COUNTIF($C$2:C2,"*visual*"),"")</f>
        <v>1</v>
      </c>
      <c r="L2">
        <f>IF(ISNUMBER(SEARCH("auditory",C2)),I2,0)</f>
        <v>0</v>
      </c>
      <c r="M2">
        <f>IF(ISNUMBER(SEARCH("auditory",C2)),1,0)</f>
        <v>0</v>
      </c>
      <c r="N2">
        <f>IF(M2=0,"",L2/M2)</f>
      </c>
      <c r="O2">
        <f>IF(ISNUMBER(SEARCH("visual",C2)),I2,0)</f>
        <v>63.67773</v>
      </c>
      <c r="P2">
        <f>IF(ISNUMBER(SEARCH("visual",C2)),1,0)</f>
        <v>1</v>
      </c>
      <c r="Q2">
        <f>IF(P2=0,"",O2/P2)</f>
        <v>63.67773</v>
      </c>
      <c r="R2">
        <v>0.51</v>
      </c>
    </row>
    <row r="3">
      <c r="A3" t="inlineStr">
        <is>
          <t>181193</t>
        </is>
      </c>
      <c r="B3" t="inlineStr">
        <is>
          <t>13082026</t>
        </is>
      </c>
      <c r="C3" t="inlineStr">
        <is>
          <t>VisualTraining</t>
        </is>
      </c>
      <c r="D3">
        <v>2</v>
      </c>
      <c r="E3" t="inlineStr">
        <is>
          <t>2026-08-13 20:13:53</t>
        </is>
      </c>
      <c r="F3" t="inlineStr">
        <is>
          <t>2026-08-13 20:14:11</t>
        </is>
      </c>
      <c r="G3">
        <v>18.41</v>
      </c>
      <c r="H3">
        <v>11.54</v>
      </c>
      <c r="I3">
        <f>IF(G3=0,0,H3/G3*100)</f>
        <v>62.68755</v>
      </c>
      <c r="J3">
        <f>IF(ISNUMBER(SEARCH("auditory",C3)),COUNTIF($C$2:C3,"*auditory*"),"")</f>
      </c>
      <c r="K3">
        <f>IF(ISNUMBER(SEARCH("visual",C3)),COUNTIF($C$2:C3,"*visual*"),"")</f>
        <v>2</v>
      </c>
      <c r="L3">
        <f>IF(ISNUMBER(SEARCH("auditory",C3)),I3+'Session Summary'!$G$2*L2,L2)</f>
        <v>0</v>
      </c>
      <c r="M3">
        <f>IF(ISNUMBER(SEARCH("auditory",C3)),1+'Session Summary'!$G$2*M2,M2)</f>
        <v>0</v>
      </c>
      <c r="N3">
        <f>IF(M3=0,"",L3/M3)</f>
      </c>
      <c r="O3">
        <f>IF(ISNUMBER(SEARCH("visual",C3)),I3+'Session Summary'!$G$2*O2,O2)</f>
        <v>107.262</v>
      </c>
      <c r="P3">
        <f>IF(ISNUMBER(SEARCH("visual",C3)),1+'Session Summary'!$G$2*P2,P2)</f>
        <v>1.7</v>
      </c>
      <c r="Q3">
        <f>IF(P3=0,"",O3/P3)</f>
        <v>63.09526</v>
      </c>
      <c r="R3">
        <v>0.51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2026-08-13T08:14:11.5506982Z</dcterms:created>
  <dcterms:modified xsi:type="dcterms:W3CDTF">2026-08-13T08:14:11.5506982Z</dcterms:modified>
</cp:coreProperties>
</file>