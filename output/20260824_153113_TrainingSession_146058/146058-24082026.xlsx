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146058</t>
        </is>
      </c>
      <c r="B2" t="inlineStr">
        <is>
          <t>24082026</t>
        </is>
      </c>
      <c r="C2">
        <f>IFERROR(AVERAGEIF('Training Runs'!$C:$C,"*auditory*",'Training Runs'!$H:$H),"")</f>
      </c>
      <c r="D2">
        <f>IFERROR(AVERAGEIF('Training Runs'!$C:$C,"*visual*",'Training Runs'!$H:$H),"")</f>
        <v>21</v>
      </c>
      <c r="E2" t="inlineStr">
        <is>
          <t>2026-08-24 15:31:13</t>
        </is>
      </c>
      <c r="F2" t="inlineStr">
        <is>
          <t>2026-08-24 15:31:13</t>
        </is>
      </c>
      <c r="G2">
        <v>0.7</v>
      </c>
      <c r="H2">
        <f>'Training Runs'!M2</f>
        <v>0</v>
      </c>
      <c r="I2">
        <f>'Training Runs'!N2</f>
        <v>0</v>
      </c>
      <c r="J2">
        <f>'Training Runs'!P2</f>
        <v>49.68596</v>
      </c>
      <c r="K2">
        <f>'Training Runs'!Q2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Runs'!J2,"")</f>
      </c>
      <c r="C7">
        <f>IF(ISNUMBER(SEARCH("visual",'Training Runs'!C2)),'Training Runs'!J2,"")</f>
        <v>49.68596</v>
      </c>
      <c r="D7">
        <f>'Training Runs'!O2</f>
      </c>
      <c r="E7">
        <f>'Training Runs'!R2</f>
        <v>49.68596</v>
      </c>
      <c r="F7" t="inlineStr">
        <is>
          <t>15:31:13</t>
        </is>
      </c>
    </row>
    <row r="9">
      <c r="A9" t="inlineStr" s="1">
        <is>
          <t>Raw average</t>
        </is>
      </c>
      <c r="B9">
        <f>IFERROR(AVERAGEIF('Training Runs'!$C:$C,"*auditory*",'Training Runs'!$J:$J),"")</f>
      </c>
      <c r="C9">
        <f>IFERROR(AVERAGEIF('Training Runs'!$C:$C,"*visual*",'Training Runs'!$J:$J),"")</f>
        <v>49.68596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Runs'!O2</f>
      </c>
      <c r="E10">
        <f>'Training Runs'!R2</f>
        <v>49.68596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  <row r="2">
      <c r="A2" t="inlineStr">
        <is>
          <t>146058</t>
        </is>
      </c>
      <c r="B2" t="inlineStr">
        <is>
          <t>24082026</t>
        </is>
      </c>
      <c r="C2" t="inlineStr">
        <is>
          <t>VisualTraining</t>
        </is>
      </c>
      <c r="D2" t="inlineStr">
        <is>
          <t>Train</t>
        </is>
      </c>
      <c r="E2">
        <v>1</v>
      </c>
      <c r="F2" t="inlineStr">
        <is>
          <t>2026-08-24 15:30:52</t>
        </is>
      </c>
      <c r="G2" t="inlineStr">
        <is>
          <t>2026-08-24 15:31:13</t>
        </is>
      </c>
      <c r="H2">
        <v>21</v>
      </c>
      <c r="I2">
        <v>10.43</v>
      </c>
      <c r="J2">
        <f>IF(H2=0,0,I2/H2*100)</f>
        <v>49.68596</v>
      </c>
      <c r="K2">
        <f>IF(ISNUMBER(SEARCH("auditory",C2)),COUNTIF($C$2:C2,"*auditory*"),"")</f>
      </c>
      <c r="L2">
        <f>IF(ISNUMBER(SEARCH("visual",C2)),COUNTIF($C$2:C2,"*visual*"),"")</f>
        <v>1</v>
      </c>
      <c r="M2">
        <f>IF(ISNUMBER(SEARCH("auditory",C2)),J2,0)</f>
        <v>0</v>
      </c>
      <c r="N2">
        <f>IF(ISNUMBER(SEARCH("auditory",C2)),1,0)</f>
        <v>0</v>
      </c>
      <c r="O2">
        <f>IF(N2=0,"",M2/N2)</f>
      </c>
      <c r="P2">
        <f>IF(ISNUMBER(SEARCH("visual",C2)),J2,0)</f>
        <v>49.68596</v>
      </c>
      <c r="Q2">
        <f>IF(ISNUMBER(SEARCH("visual",C2)),1,0)</f>
        <v>1</v>
      </c>
      <c r="R2">
        <f>IF(Q2=0,"",P2/Q2)</f>
        <v>49.68596</v>
      </c>
      <c r="S2">
        <v>0.9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2026-08-24T03:31:17.764841Z</dcterms:created>
  <dcterms:modified xsi:type="dcterms:W3CDTF">2026-08-24T03:31:17.764841Z</dcterms:modified>
</cp:coreProperties>
</file>