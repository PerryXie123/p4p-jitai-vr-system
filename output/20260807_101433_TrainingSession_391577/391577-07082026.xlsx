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391577</t>
        </is>
      </c>
      <c r="B2" t="inlineStr">
        <is>
          <t>07082026</t>
        </is>
      </c>
      <c r="C2">
        <f>IFERROR(AVERAGEIF('Training Runs'!$C:$C,"*auditory*",'Training Runs'!$G:$G),"")</f>
      </c>
      <c r="D2">
        <f>IFERROR(AVERAGEIF('Training Runs'!$C:$C,"*visual*",'Training Runs'!$G:$G),"")</f>
      </c>
      <c r="E2" t="inlineStr">
        <is>
          <t>2026-08-07 10:14:33</t>
        </is>
      </c>
      <c r="F2" t="inlineStr">
        <is>
          <t>2026-08-07 10:17:02</t>
        </is>
      </c>
      <c r="G2">
        <v>0.7</v>
      </c>
      <c r="H2">
        <f>'Training Runs'!L4</f>
      </c>
      <c r="I2">
        <f>'Training Runs'!M4</f>
      </c>
      <c r="J2">
        <f>'Training Runs'!O4</f>
      </c>
      <c r="K2">
        <f>'Training Runs'!P4</f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</c>
      <c r="D7">
        <f>'Training Runs'!N2</f>
      </c>
      <c r="E7">
        <f>'Training Runs'!Q2</f>
      </c>
      <c r="F7" t="inlineStr">
        <is>
          <t>10:15:09</t>
        </is>
      </c>
    </row>
    <row r="8">
      <c r="A8"/>
      <c r="B8">
        <f>IF(ISNUMBER(SEARCH("auditory",'Training Runs'!C3)),'Training Runs'!I3,"")</f>
      </c>
      <c r="C8">
        <f>IF(ISNUMBER(SEARCH("visual",'Training Runs'!C3)),'Training Runs'!I3,"")</f>
      </c>
      <c r="D8">
        <f>'Training Runs'!N3</f>
      </c>
      <c r="E8">
        <f>'Training Runs'!Q3</f>
      </c>
      <c r="F8" t="inlineStr">
        <is>
          <t>10:16:26</t>
        </is>
      </c>
    </row>
    <row r="9">
      <c r="A9"/>
      <c r="B9">
        <f>IF(ISNUMBER(SEARCH("auditory",'Training Runs'!C4)),'Training Runs'!I4,"")</f>
      </c>
      <c r="C9">
        <f>IF(ISNUMBER(SEARCH("visual",'Training Runs'!C4)),'Training Runs'!I4,"")</f>
      </c>
      <c r="D9">
        <f>'Training Runs'!N4</f>
      </c>
      <c r="E9">
        <f>'Training Runs'!Q4</f>
      </c>
      <c r="F9" t="inlineStr">
        <is>
          <t>10:17:02</t>
        </is>
      </c>
    </row>
    <row r="11">
      <c r="A11" t="inlineStr" s="1">
        <is>
          <t>Raw average</t>
        </is>
      </c>
      <c r="B11">
        <f>IFERROR(AVERAGEIF('Training Runs'!$C:$C,"*auditory*",'Training Runs'!$I:$I),"")</f>
      </c>
      <c r="C11">
        <f>IFERROR(AVERAGEIF('Training Runs'!$C:$C,"*visual*",'Training Runs'!$I:$I),"")</f>
      </c>
      <c r="D11"/>
      <c r="E11"/>
      <c r="F11"/>
    </row>
    <row r="12">
      <c r="A12" t="inlineStr" s="1">
        <is>
          <t>Weighted average</t>
        </is>
      </c>
      <c r="B12"/>
      <c r="C12"/>
      <c r="D12">
        <f>'Training Runs'!N4</f>
      </c>
      <c r="E12">
        <f>'Training Runs'!Q4</f>
      </c>
      <c r="F12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391577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10:14:39</t>
        </is>
      </c>
      <c r="F2" t="inlineStr">
        <is>
          <t>2026-08-07 10:15:09</t>
        </is>
      </c>
      <c r="G2">
        <v>30</v>
      </c>
      <c r="H2">
        <v>0</v>
      </c>
      <c r="I2">
        <f>IF(G2=0,0,H2/G2*100)</f>
      </c>
      <c r="J2">
        <f>IF(ISNUMBER(SEARCH("auditory",C2)),COUNTIF($C$2:C2,"*auditory*"),"")</f>
      </c>
      <c r="K2">
        <f>IF(ISNUMBER(SEARCH("visual",C2)),COUNTIF($C$2:C2,"*visual*"),"")</f>
      </c>
      <c r="L2">
        <f>IF(COUNT($J$2:J2)=0,"",SUMPRODUCT(($J$2:J2&lt;&gt;""),$I$2:I2,POWER('Session Summary'!$G$2,IF($J$2:J2&lt;&gt;"",COUNT($J$2:J2)-$J$2:J2,0))))</f>
      </c>
      <c r="M2">
        <f>IF(COUNT($J$2:J2)=0,"",SUMPRODUCT(($J$2:J2&lt;&gt;""),POWER('Session Summary'!$G$2,IF($J$2:J2&lt;&gt;"",COUNT($J$2:J2)-$J$2:J2,0))))</f>
      </c>
      <c r="N2">
        <f>IF(M2=0,"",L2/M2)</f>
      </c>
      <c r="O2">
        <f>IF(COUNT($K$2:K2)=0,"",SUMPRODUCT(($K$2:K2&lt;&gt;""),$I$2:I2,POWER('Session Summary'!$G$2,IF($K$2:K2&lt;&gt;"",COUNT($K$2:K2)-$K$2:K2,0))))</f>
      </c>
      <c r="P2">
        <f>IF(COUNT($K$2:K2)=0,"",SUMPRODUCT(($K$2:K2&lt;&gt;""),POWER('Session Summary'!$G$2,IF($K$2:K2&lt;&gt;"",COUNT($K$2:K2)-$K$2:K2,0))))</f>
      </c>
      <c r="Q2">
        <f>IF(P2=0,"",O2/P2)</f>
      </c>
      <c r="R2">
        <v>0.5</v>
      </c>
    </row>
    <row r="3">
      <c r="A3" t="inlineStr">
        <is>
          <t>391577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10:15:56</t>
        </is>
      </c>
      <c r="F3" t="inlineStr">
        <is>
          <t>2026-08-07 10:16:26</t>
        </is>
      </c>
      <c r="G3">
        <v>30</v>
      </c>
      <c r="H3">
        <v>0</v>
      </c>
      <c r="I3">
        <f>IF(G3=0,0,H3/G3*100)</f>
      </c>
      <c r="J3">
        <f>IF(ISNUMBER(SEARCH("auditory",C3)),COUNTIF($C$2:C3,"*auditory*"),"")</f>
      </c>
      <c r="K3">
        <f>IF(ISNUMBER(SEARCH("visual",C3)),COUNTIF($C$2:C3,"*visual*"),"")</f>
      </c>
      <c r="L3">
        <f>IF(COUNT($J$2:J3)=0,"",SUMPRODUCT(($J$2:J3&lt;&gt;""),$I$2:I3,POWER('Session Summary'!$G$2,IF($J$2:J3&lt;&gt;"",COUNT($J$2:J3)-$J$2:J3,0))))</f>
      </c>
      <c r="M3">
        <f>IF(COUNT($J$2:J3)=0,"",SUMPRODUCT(($J$2:J3&lt;&gt;""),POWER('Session Summary'!$G$2,IF($J$2:J3&lt;&gt;"",COUNT($J$2:J3)-$J$2:J3,0))))</f>
      </c>
      <c r="N3">
        <f>IF(M3=0,"",L3/M3)</f>
      </c>
      <c r="O3">
        <f>IF(COUNT($K$2:K3)=0,"",SUMPRODUCT(($K$2:K3&lt;&gt;""),$I$2:I3,POWER('Session Summary'!$G$2,IF($K$2:K3&lt;&gt;"",COUNT($K$2:K3)-$K$2:K3,0))))</f>
      </c>
      <c r="P3">
        <f>IF(COUNT($K$2:K3)=0,"",SUMPRODUCT(($K$2:K3&lt;&gt;""),POWER('Session Summary'!$G$2,IF($K$2:K3&lt;&gt;"",COUNT($K$2:K3)-$K$2:K3,0))))</f>
      </c>
      <c r="Q3">
        <f>IF(P3=0,"",O3/P3)</f>
      </c>
      <c r="R3">
        <v>0.5</v>
      </c>
    </row>
    <row r="4">
      <c r="A4" t="inlineStr">
        <is>
          <t>391577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10:16:32</t>
        </is>
      </c>
      <c r="F4" t="inlineStr">
        <is>
          <t>2026-08-07 10:17:02</t>
        </is>
      </c>
      <c r="G4">
        <v>30</v>
      </c>
      <c r="H4">
        <v>0</v>
      </c>
      <c r="I4">
        <f>IF(G4=0,0,H4/G4*100)</f>
      </c>
      <c r="J4">
        <f>IF(ISNUMBER(SEARCH("auditory",C4)),COUNTIF($C$2:C4,"*auditory*"),"")</f>
      </c>
      <c r="K4">
        <f>IF(ISNUMBER(SEARCH("visual",C4)),COUNTIF($C$2:C4,"*visual*"),"")</f>
      </c>
      <c r="L4">
        <f>IF(COUNT($J$2:J4)=0,"",SUMPRODUCT(($J$2:J4&lt;&gt;""),$I$2:I4,POWER('Session Summary'!$G$2,IF($J$2:J4&lt;&gt;"",COUNT($J$2:J4)-$J$2:J4,0))))</f>
      </c>
      <c r="M4">
        <f>IF(COUNT($J$2:J4)=0,"",SUMPRODUCT(($J$2:J4&lt;&gt;""),POWER('Session Summary'!$G$2,IF($J$2:J4&lt;&gt;"",COUNT($J$2:J4)-$J$2:J4,0))))</f>
      </c>
      <c r="N4">
        <f>IF(M4=0,"",L4/M4)</f>
      </c>
      <c r="O4">
        <f>IF(COUNT($K$2:K4)=0,"",SUMPRODUCT(($K$2:K4&lt;&gt;""),$I$2:I4,POWER('Session Summary'!$G$2,IF($K$2:K4&lt;&gt;"",COUNT($K$2:K4)-$K$2:K4,0))))</f>
      </c>
      <c r="P4">
        <f>IF(COUNT($K$2:K4)=0,"",SUMPRODUCT(($K$2:K4&lt;&gt;""),POWER('Session Summary'!$G$2,IF($K$2:K4&lt;&gt;"",COUNT($K$2:K4)-$K$2:K4,0))))</f>
      </c>
      <c r="Q4">
        <f>IF(P4=0,"",O4/P4)</f>
      </c>
      <c r="R4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2026-08-06T22:17:04.7130164Z</dcterms:created>
  <dcterms:modified xsi:type="dcterms:W3CDTF">2026-08-06T22:17:04.7130164Z</dcterms:modified>
</cp:coreProperties>
</file>