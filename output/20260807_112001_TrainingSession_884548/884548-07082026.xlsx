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884548</t>
        </is>
      </c>
      <c r="B2" t="inlineStr">
        <is>
          <t>07082026</t>
        </is>
      </c>
      <c r="C2">
        <f>IFERROR(AVERAGEIF('Training Runs'!$C:$C,"*auditory*",'Training Runs'!$G:$G),"")</f>
        <v>3</v>
      </c>
      <c r="D2">
        <f>IFERROR(AVERAGEIF('Training Runs'!$C:$C,"*visual*",'Training Runs'!$G:$G),"")</f>
        <v>3</v>
      </c>
      <c r="E2" t="inlineStr">
        <is>
          <t>2026-08-07 11:20:01</t>
        </is>
      </c>
      <c r="F2" t="inlineStr">
        <is>
          <t>2026-08-07 11:23:01</t>
        </is>
      </c>
      <c r="G2">
        <v>0.7</v>
      </c>
      <c r="H2">
        <f>'Training Runs'!L5</f>
        <v>120.0254</v>
      </c>
      <c r="I2">
        <f>'Training Runs'!M5</f>
        <v>2.19</v>
      </c>
      <c r="J2">
        <f>'Training Runs'!O5</f>
        <v>90.92256</v>
      </c>
      <c r="K2">
        <f>'Training Runs'!P5</f>
        <v>1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Runs'!I2,"")</f>
        <v>99.17316</v>
      </c>
      <c r="C7">
        <f>IF(ISNUMBER(SEARCH("visual",'Training Runs'!C2)),'Training Runs'!I2,"")</f>
      </c>
      <c r="D7">
        <f>'Training Runs'!N2</f>
        <v>99.17316</v>
      </c>
      <c r="E7">
        <f>'Training Runs'!Q2</f>
      </c>
      <c r="F7" t="inlineStr">
        <is>
          <t>11:21:15</t>
        </is>
      </c>
    </row>
    <row r="8">
      <c r="A8"/>
      <c r="B8">
        <f>IF(ISNUMBER(SEARCH("auditory",'Training Runs'!C3)),'Training Runs'!I3,"")</f>
        <v>36.08648</v>
      </c>
      <c r="C8">
        <f>IF(ISNUMBER(SEARCH("visual",'Training Runs'!C3)),'Training Runs'!I3,"")</f>
      </c>
      <c r="D8">
        <f>'Training Runs'!N3</f>
        <v>62.06335</v>
      </c>
      <c r="E8">
        <f>'Training Runs'!Q3</f>
      </c>
      <c r="F8" t="inlineStr">
        <is>
          <t>11:21:42</t>
        </is>
      </c>
    </row>
    <row r="9">
      <c r="A9"/>
      <c r="B9">
        <f>IF(ISNUMBER(SEARCH("auditory",'Training Runs'!C4)),'Training Runs'!I4,"")</f>
        <v>46.16999</v>
      </c>
      <c r="C9">
        <f>IF(ISNUMBER(SEARCH("visual",'Training Runs'!C4)),'Training Runs'!I4,"")</f>
      </c>
      <c r="D9">
        <f>'Training Runs'!N4</f>
        <v>54.80611</v>
      </c>
      <c r="E9">
        <f>'Training Runs'!Q4</f>
      </c>
      <c r="F9" t="inlineStr">
        <is>
          <t>11:22:21</t>
        </is>
      </c>
    </row>
    <row r="10">
      <c r="A10"/>
      <c r="B10">
        <f>IF(ISNUMBER(SEARCH("auditory",'Training Runs'!C5)),'Training Runs'!I5,"")</f>
      </c>
      <c r="C10">
        <f>IF(ISNUMBER(SEARCH("visual",'Training Runs'!C5)),'Training Runs'!I5,"")</f>
        <v>90.92256</v>
      </c>
      <c r="D10">
        <f>'Training Runs'!N5</f>
        <v>54.80611</v>
      </c>
      <c r="E10">
        <f>'Training Runs'!Q5</f>
        <v>90.92256</v>
      </c>
      <c r="F10" t="inlineStr">
        <is>
          <t>11:23:01</t>
        </is>
      </c>
    </row>
    <row r="12">
      <c r="A12" t="inlineStr" s="1">
        <is>
          <t>Raw average</t>
        </is>
      </c>
      <c r="B12">
        <f>IFERROR(AVERAGEIF('Training Runs'!$C:$C,"*auditory*",'Training Runs'!$I:$I),"")</f>
        <v>60.47654</v>
      </c>
      <c r="C12">
        <f>IFERROR(AVERAGEIF('Training Runs'!$C:$C,"*visual*",'Training Runs'!$I:$I),"")</f>
        <v>90.92256</v>
      </c>
      <c r="D12"/>
      <c r="E12"/>
      <c r="F12"/>
    </row>
    <row r="13">
      <c r="A13" t="inlineStr" s="1">
        <is>
          <t>Weighted average</t>
        </is>
      </c>
      <c r="B13"/>
      <c r="C13"/>
      <c r="D13">
        <f>'Training Runs'!N5</f>
        <v>54.80611</v>
      </c>
      <c r="E13">
        <f>'Training Runs'!Q5</f>
        <v>90.92256</v>
      </c>
      <c r="F13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8" customWidth="1"/>
    <col min="11" max="11" width="16" customWidth="1"/>
    <col min="12" max="12" width="24" customWidth="1"/>
    <col min="13" max="13" width="18" customWidth="1"/>
    <col min="14" max="14" width="26" customWidth="1"/>
    <col min="15" max="15" width="22" customWidth="1"/>
    <col min="16" max="16" width="18" customWidth="1"/>
    <col min="17" max="17" width="24" customWidth="1"/>
    <col min="18" max="18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run index</t>
        </is>
      </c>
      <c r="K1" t="inlineStr" s="1">
        <is>
          <t>visual run index</t>
        </is>
      </c>
      <c r="L1" t="inlineStr" s="1">
        <is>
          <t>auditory weighted sum</t>
        </is>
      </c>
      <c r="M1" t="inlineStr" s="1">
        <is>
          <t>auditory weight sum</t>
        </is>
      </c>
      <c r="N1" t="inlineStr" s="1">
        <is>
          <t>auditory weighted average</t>
        </is>
      </c>
      <c r="O1" t="inlineStr" s="1">
        <is>
          <t>visual weighted sum</t>
        </is>
      </c>
      <c r="P1" t="inlineStr" s="1">
        <is>
          <t>visual weight sum</t>
        </is>
      </c>
      <c r="Q1" t="inlineStr" s="1">
        <is>
          <t>visual weighted average</t>
        </is>
      </c>
      <c r="R1" t="inlineStr" s="1">
        <is>
          <t>hrv threshold</t>
        </is>
      </c>
    </row>
    <row r="2">
      <c r="A2" t="inlineStr">
        <is>
          <t>884548</t>
        </is>
      </c>
      <c r="B2" t="inlineStr">
        <is>
          <t>07082026</t>
        </is>
      </c>
      <c r="C2" t="inlineStr">
        <is>
          <t>AuditoryTraining</t>
        </is>
      </c>
      <c r="D2">
        <v>1</v>
      </c>
      <c r="E2" t="inlineStr">
        <is>
          <t>2026-08-07 11:21:12</t>
        </is>
      </c>
      <c r="F2" t="inlineStr">
        <is>
          <t>2026-08-07 11:21:15</t>
        </is>
      </c>
      <c r="G2">
        <v>3</v>
      </c>
      <c r="H2">
        <v>2.98</v>
      </c>
      <c r="I2">
        <f>IF(G2=0,0,H2/G2*100)</f>
        <v>99.17316</v>
      </c>
      <c r="J2">
        <f>IF(ISNUMBER(SEARCH("auditory",C2)),COUNTIF($C$2:C2,"*auditory*"),"")</f>
        <v>1</v>
      </c>
      <c r="K2">
        <f>IF(ISNUMBER(SEARCH("visual",C2)),COUNTIF($C$2:C2,"*visual*"),"")</f>
      </c>
      <c r="L2">
        <f>IF(ISNUMBER(SEARCH("auditory",C2)),I2,0)</f>
        <v>99.17316</v>
      </c>
      <c r="M2">
        <f>IF(ISNUMBER(SEARCH("auditory",C2)),1,0)</f>
        <v>1</v>
      </c>
      <c r="N2">
        <f>IF(M2=0,"",L2/M2)</f>
        <v>99.17316</v>
      </c>
      <c r="O2">
        <f>IF(ISNUMBER(SEARCH("visual",C2)),I2,0)</f>
        <v>0</v>
      </c>
      <c r="P2">
        <f>IF(ISNUMBER(SEARCH("visual",C2)),1,0)</f>
        <v>0</v>
      </c>
      <c r="Q2">
        <f>IF(P2=0,"",O2/P2)</f>
      </c>
      <c r="R2">
        <v>0.5</v>
      </c>
    </row>
    <row r="3">
      <c r="A3" t="inlineStr">
        <is>
          <t>884548</t>
        </is>
      </c>
      <c r="B3" t="inlineStr">
        <is>
          <t>07082026</t>
        </is>
      </c>
      <c r="C3" t="inlineStr">
        <is>
          <t>AuditoryTraining</t>
        </is>
      </c>
      <c r="D3">
        <v>2</v>
      </c>
      <c r="E3" t="inlineStr">
        <is>
          <t>2026-08-07 11:21:39</t>
        </is>
      </c>
      <c r="F3" t="inlineStr">
        <is>
          <t>2026-08-07 11:21:42</t>
        </is>
      </c>
      <c r="G3">
        <v>3</v>
      </c>
      <c r="H3">
        <v>1.08</v>
      </c>
      <c r="I3">
        <f>IF(G3=0,0,H3/G3*100)</f>
        <v>36.08648</v>
      </c>
      <c r="J3">
        <f>IF(ISNUMBER(SEARCH("auditory",C3)),COUNTIF($C$2:C3,"*auditory*"),"")</f>
        <v>2</v>
      </c>
      <c r="K3">
        <f>IF(ISNUMBER(SEARCH("visual",C3)),COUNTIF($C$2:C3,"*visual*"),"")</f>
      </c>
      <c r="L3">
        <f>IF(ISNUMBER(SEARCH("auditory",C3)),I3+'Session Summary'!$G$2*L2,L2)</f>
        <v>105.5077</v>
      </c>
      <c r="M3">
        <f>IF(ISNUMBER(SEARCH("auditory",C3)),1+'Session Summary'!$G$2*M2,M2)</f>
        <v>1.7</v>
      </c>
      <c r="N3">
        <f>IF(M3=0,"",L3/M3)</f>
        <v>62.06335</v>
      </c>
      <c r="O3">
        <f>IF(ISNUMBER(SEARCH("visual",C3)),I3+'Session Summary'!$G$2*O2,O2)</f>
        <v>0</v>
      </c>
      <c r="P3">
        <f>IF(ISNUMBER(SEARCH("visual",C3)),1+'Session Summary'!$G$2*P2,P2)</f>
        <v>0</v>
      </c>
      <c r="Q3">
        <f>IF(P3=0,"",O3/P3)</f>
      </c>
      <c r="R3">
        <v>0.5</v>
      </c>
    </row>
    <row r="4">
      <c r="A4" t="inlineStr">
        <is>
          <t>884548</t>
        </is>
      </c>
      <c r="B4" t="inlineStr">
        <is>
          <t>07082026</t>
        </is>
      </c>
      <c r="C4" t="inlineStr">
        <is>
          <t>AuditoryTraining</t>
        </is>
      </c>
      <c r="D4">
        <v>3</v>
      </c>
      <c r="E4" t="inlineStr">
        <is>
          <t>2026-08-07 11:22:18</t>
        </is>
      </c>
      <c r="F4" t="inlineStr">
        <is>
          <t>2026-08-07 11:22:21</t>
        </is>
      </c>
      <c r="G4">
        <v>3</v>
      </c>
      <c r="H4">
        <v>1.39</v>
      </c>
      <c r="I4">
        <f>IF(G4=0,0,H4/G4*100)</f>
        <v>46.16999</v>
      </c>
      <c r="J4">
        <f>IF(ISNUMBER(SEARCH("auditory",C4)),COUNTIF($C$2:C4,"*auditory*"),"")</f>
        <v>3</v>
      </c>
      <c r="K4">
        <f>IF(ISNUMBER(SEARCH("visual",C4)),COUNTIF($C$2:C4,"*visual*"),"")</f>
      </c>
      <c r="L4">
        <f>IF(ISNUMBER(SEARCH("auditory",C4)),I4+'Session Summary'!$G$2*L3,L3)</f>
        <v>120.0254</v>
      </c>
      <c r="M4">
        <f>IF(ISNUMBER(SEARCH("auditory",C4)),1+'Session Summary'!$G$2*M3,M3)</f>
        <v>2.19</v>
      </c>
      <c r="N4">
        <f>IF(M4=0,"",L4/M4)</f>
        <v>54.80611</v>
      </c>
      <c r="O4">
        <f>IF(ISNUMBER(SEARCH("visual",C4)),I4+'Session Summary'!$G$2*O3,O3)</f>
        <v>0</v>
      </c>
      <c r="P4">
        <f>IF(ISNUMBER(SEARCH("visual",C4)),1+'Session Summary'!$G$2*P3,P3)</f>
        <v>0</v>
      </c>
      <c r="Q4">
        <f>IF(P4=0,"",O4/P4)</f>
      </c>
      <c r="R4">
        <v>0.5</v>
      </c>
    </row>
    <row r="5">
      <c r="A5" t="inlineStr">
        <is>
          <t>884548</t>
        </is>
      </c>
      <c r="B5" t="inlineStr">
        <is>
          <t>07082026</t>
        </is>
      </c>
      <c r="C5" t="inlineStr">
        <is>
          <t>VisualTraining</t>
        </is>
      </c>
      <c r="D5">
        <v>4</v>
      </c>
      <c r="E5" t="inlineStr">
        <is>
          <t>2026-08-07 11:22:58</t>
        </is>
      </c>
      <c r="F5" t="inlineStr">
        <is>
          <t>2026-08-07 11:23:01</t>
        </is>
      </c>
      <c r="G5">
        <v>3</v>
      </c>
      <c r="H5">
        <v>2.73</v>
      </c>
      <c r="I5">
        <f>IF(G5=0,0,H5/G5*100)</f>
        <v>90.92256</v>
      </c>
      <c r="J5">
        <f>IF(ISNUMBER(SEARCH("auditory",C5)),COUNTIF($C$2:C5,"*auditory*"),"")</f>
      </c>
      <c r="K5">
        <f>IF(ISNUMBER(SEARCH("visual",C5)),COUNTIF($C$2:C5,"*visual*"),"")</f>
        <v>1</v>
      </c>
      <c r="L5">
        <f>IF(ISNUMBER(SEARCH("auditory",C5)),I5+'Session Summary'!$G$2*L4,L4)</f>
        <v>120.0254</v>
      </c>
      <c r="M5">
        <f>IF(ISNUMBER(SEARCH("auditory",C5)),1+'Session Summary'!$G$2*M4,M4)</f>
        <v>2.19</v>
      </c>
      <c r="N5">
        <f>IF(M5=0,"",L5/M5)</f>
        <v>54.80611</v>
      </c>
      <c r="O5">
        <f>IF(ISNUMBER(SEARCH("visual",C5)),I5+'Session Summary'!$G$2*O4,O4)</f>
        <v>90.92256</v>
      </c>
      <c r="P5">
        <f>IF(ISNUMBER(SEARCH("visual",C5)),1+'Session Summary'!$G$2*P4,P4)</f>
        <v>1</v>
      </c>
      <c r="Q5">
        <f>IF(P5=0,"",O5/P5)</f>
        <v>90.92256</v>
      </c>
      <c r="R5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2026-08-06T23:23:38.8442695Z</dcterms:created>
  <dcterms:modified xsi:type="dcterms:W3CDTF">2026-08-06T23:23:38.8442695Z</dcterms:modified>
</cp:coreProperties>
</file>