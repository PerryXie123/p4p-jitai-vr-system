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ssion Summary" sheetId="1" r:id="rId1"/>
    <sheet name="Training Runs" sheetId="2" r:id="rId2"/>
  </sheets>
  <calcPr calcMode="auto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6" customWidth="1"/>
    <col min="3" max="3" width="24" customWidth="1"/>
    <col min="4" max="4" width="22" customWidth="1"/>
    <col min="5" max="5" width="20" customWidth="1"/>
    <col min="6" max="6" width="20" customWidth="1"/>
    <col min="7" max="7" width="14" customWidth="1"/>
    <col min="8" max="8" width="24" customWidth="1"/>
    <col min="9" max="9" width="20" customWidth="1"/>
    <col min="10" max="10" width="24" customWidth="1"/>
    <col min="11" max="11" width="20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auditory training length</t>
        </is>
      </c>
      <c r="D1" t="inlineStr" s="1">
        <is>
          <t>visual training length</t>
        </is>
      </c>
      <c r="E1" t="inlineStr" s="1">
        <is>
          <t>started</t>
        </is>
      </c>
      <c r="F1" t="inlineStr" s="1">
        <is>
          <t>last updated</t>
        </is>
      </c>
      <c r="G1" t="inlineStr" s="1">
        <is>
          <t>decay d</t>
        </is>
      </c>
      <c r="H1" t="inlineStr" s="1">
        <is>
          <t>auditory weighted sum</t>
        </is>
      </c>
      <c r="I1" t="inlineStr" s="1">
        <is>
          <t>auditory weight sum</t>
        </is>
      </c>
      <c r="J1" t="inlineStr" s="1">
        <is>
          <t>visual weighted sum</t>
        </is>
      </c>
      <c r="K1" t="inlineStr" s="1">
        <is>
          <t>visual weight sum</t>
        </is>
      </c>
    </row>
    <row r="2">
      <c r="A2" t="inlineStr">
        <is>
          <t>227177</t>
        </is>
      </c>
      <c r="B2" t="inlineStr">
        <is>
          <t>07082026</t>
        </is>
      </c>
      <c r="C2">
        <f>IFERROR(AVERAGEIF('Training Runs'!$C:$C,"*auditory*",'Training Runs'!$G:$G),"")</f>
      </c>
      <c r="D2">
        <f>IFERROR(AVERAGEIF('Training Runs'!$C:$C,"*visual*",'Training Runs'!$G:$G),"")</f>
      </c>
      <c r="E2" t="inlineStr">
        <is>
          <t>2026-08-07 10:26:47</t>
        </is>
      </c>
      <c r="F2" t="inlineStr">
        <is>
          <t>2026-08-07 10:27:23</t>
        </is>
      </c>
      <c r="G2">
        <v>0.7</v>
      </c>
      <c r="H2">
        <f>'Training Runs'!L7</f>
      </c>
      <c r="I2">
        <f>'Training Runs'!M7</f>
      </c>
      <c r="J2">
        <f>'Training Runs'!O7</f>
      </c>
      <c r="K2">
        <f>'Training Runs'!P7</f>
      </c>
    </row>
    <row r="6">
      <c r="A6"/>
      <c r="B6" t="inlineStr" s="1">
        <is>
          <t>auditory accuracy</t>
        </is>
      </c>
      <c r="C6" t="inlineStr" s="1">
        <is>
          <t>visual accuracy</t>
        </is>
      </c>
      <c r="D6" t="inlineStr" s="1">
        <is>
          <t>auditory weighted</t>
        </is>
      </c>
      <c r="E6" t="inlineStr" s="1">
        <is>
          <t>visual weighted</t>
        </is>
      </c>
      <c r="F6" t="inlineStr" s="1">
        <is>
          <t>timestamp</t>
        </is>
      </c>
    </row>
    <row r="7">
      <c r="A7"/>
      <c r="B7">
        <f>IF(ISNUMBER(SEARCH("auditory",'Training Runs'!C2)),'Training Runs'!I2,"")</f>
      </c>
      <c r="C7">
        <f>IF(ISNUMBER(SEARCH("visual",'Training Runs'!C2)),'Training Runs'!I2,"")</f>
      </c>
      <c r="D7">
        <f>'Training Runs'!N2</f>
      </c>
      <c r="E7">
        <f>'Training Runs'!Q2</f>
      </c>
      <c r="F7" t="inlineStr">
        <is>
          <t>10:26:54</t>
        </is>
      </c>
    </row>
    <row r="8">
      <c r="A8"/>
      <c r="B8">
        <f>IF(ISNUMBER(SEARCH("auditory",'Training Runs'!C3)),'Training Runs'!I3,"")</f>
      </c>
      <c r="C8">
        <f>IF(ISNUMBER(SEARCH("visual",'Training Runs'!C3)),'Training Runs'!I3,"")</f>
      </c>
      <c r="D8">
        <f>'Training Runs'!N3</f>
      </c>
      <c r="E8">
        <f>'Training Runs'!Q3</f>
      </c>
      <c r="F8" t="inlineStr">
        <is>
          <t>10:27:00</t>
        </is>
      </c>
    </row>
    <row r="9">
      <c r="A9"/>
      <c r="B9">
        <f>IF(ISNUMBER(SEARCH("auditory",'Training Runs'!C4)),'Training Runs'!I4,"")</f>
      </c>
      <c r="C9">
        <f>IF(ISNUMBER(SEARCH("visual",'Training Runs'!C4)),'Training Runs'!I4,"")</f>
      </c>
      <c r="D9">
        <f>'Training Runs'!N4</f>
      </c>
      <c r="E9">
        <f>'Training Runs'!Q4</f>
      </c>
      <c r="F9" t="inlineStr">
        <is>
          <t>10:27:06</t>
        </is>
      </c>
    </row>
    <row r="10">
      <c r="A10"/>
      <c r="B10">
        <f>IF(ISNUMBER(SEARCH("auditory",'Training Runs'!C5)),'Training Runs'!I5,"")</f>
      </c>
      <c r="C10">
        <f>IF(ISNUMBER(SEARCH("visual",'Training Runs'!C5)),'Training Runs'!I5,"")</f>
      </c>
      <c r="D10">
        <f>'Training Runs'!N5</f>
      </c>
      <c r="E10">
        <f>'Training Runs'!Q5</f>
      </c>
      <c r="F10" t="inlineStr">
        <is>
          <t>10:27:12</t>
        </is>
      </c>
    </row>
    <row r="11">
      <c r="A11"/>
      <c r="B11">
        <f>IF(ISNUMBER(SEARCH("auditory",'Training Runs'!C6)),'Training Runs'!I6,"")</f>
      </c>
      <c r="C11">
        <f>IF(ISNUMBER(SEARCH("visual",'Training Runs'!C6)),'Training Runs'!I6,"")</f>
      </c>
      <c r="D11">
        <f>'Training Runs'!N6</f>
      </c>
      <c r="E11">
        <f>'Training Runs'!Q6</f>
      </c>
      <c r="F11" t="inlineStr">
        <is>
          <t>10:27:18</t>
        </is>
      </c>
    </row>
    <row r="12">
      <c r="A12"/>
      <c r="B12">
        <f>IF(ISNUMBER(SEARCH("auditory",'Training Runs'!C7)),'Training Runs'!I7,"")</f>
      </c>
      <c r="C12">
        <f>IF(ISNUMBER(SEARCH("visual",'Training Runs'!C7)),'Training Runs'!I7,"")</f>
      </c>
      <c r="D12">
        <f>'Training Runs'!N7</f>
      </c>
      <c r="E12">
        <f>'Training Runs'!Q7</f>
      </c>
      <c r="F12" t="inlineStr">
        <is>
          <t>10:27:23</t>
        </is>
      </c>
    </row>
    <row r="14">
      <c r="A14" t="inlineStr" s="1">
        <is>
          <t>Raw average</t>
        </is>
      </c>
      <c r="B14">
        <f>IFERROR(AVERAGEIF('Training Runs'!$C:$C,"*auditory*",'Training Runs'!$I:$I),"")</f>
      </c>
      <c r="C14">
        <f>IFERROR(AVERAGEIF('Training Runs'!$C:$C,"*visual*",'Training Runs'!$I:$I),"")</f>
      </c>
      <c r="D14"/>
      <c r="E14"/>
      <c r="F14"/>
    </row>
    <row r="15">
      <c r="A15" t="inlineStr" s="1">
        <is>
          <t>Weighted average</t>
        </is>
      </c>
      <c r="B15"/>
      <c r="C15"/>
      <c r="D15">
        <f>'Training Runs'!N7</f>
      </c>
      <c r="E15">
        <f>'Training Runs'!Q7</f>
      </c>
      <c r="F15"/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12" customWidth="1"/>
    <col min="3" max="3" width="18" customWidth="1"/>
    <col min="4" max="4" width="10" customWidth="1"/>
    <col min="5" max="5" width="22" customWidth="1"/>
    <col min="6" max="6" width="22" customWidth="1"/>
    <col min="7" max="7" width="16" customWidth="1"/>
    <col min="8" max="8" width="16" customWidth="1"/>
    <col min="9" max="9" width="18" customWidth="1"/>
    <col min="10" max="10" width="18" customWidth="1"/>
    <col min="11" max="11" width="16" customWidth="1"/>
    <col min="12" max="12" width="24" customWidth="1"/>
    <col min="13" max="13" width="18" customWidth="1"/>
    <col min="14" max="14" width="26" customWidth="1"/>
    <col min="15" max="15" width="22" customWidth="1"/>
    <col min="16" max="16" width="18" customWidth="1"/>
    <col min="17" max="17" width="24" customWidth="1"/>
    <col min="18" max="18" width="14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training type</t>
        </is>
      </c>
      <c r="D1" t="inlineStr" s="1">
        <is>
          <t>run</t>
        </is>
      </c>
      <c r="E1" t="inlineStr" s="1">
        <is>
          <t>started timestamp</t>
        </is>
      </c>
      <c r="F1" t="inlineStr" s="1">
        <is>
          <t>ended timestamp</t>
        </is>
      </c>
      <c r="G1" t="inlineStr" s="1">
        <is>
          <t>duration seconds</t>
        </is>
      </c>
      <c r="H1" t="inlineStr" s="1">
        <is>
          <t>focused seconds</t>
        </is>
      </c>
      <c r="I1" t="inlineStr" s="1">
        <is>
          <t>focused percentage</t>
        </is>
      </c>
      <c r="J1" t="inlineStr" s="1">
        <is>
          <t>auditory run index</t>
        </is>
      </c>
      <c r="K1" t="inlineStr" s="1">
        <is>
          <t>visual run index</t>
        </is>
      </c>
      <c r="L1" t="inlineStr" s="1">
        <is>
          <t>auditory weighted sum</t>
        </is>
      </c>
      <c r="M1" t="inlineStr" s="1">
        <is>
          <t>auditory weight sum</t>
        </is>
      </c>
      <c r="N1" t="inlineStr" s="1">
        <is>
          <t>auditory weighted average</t>
        </is>
      </c>
      <c r="O1" t="inlineStr" s="1">
        <is>
          <t>visual weighted sum</t>
        </is>
      </c>
      <c r="P1" t="inlineStr" s="1">
        <is>
          <t>visual weight sum</t>
        </is>
      </c>
      <c r="Q1" t="inlineStr" s="1">
        <is>
          <t>visual weighted average</t>
        </is>
      </c>
      <c r="R1" t="inlineStr" s="1">
        <is>
          <t>hrv threshold</t>
        </is>
      </c>
    </row>
    <row r="2">
      <c r="A2" t="inlineStr">
        <is>
          <t>227177</t>
        </is>
      </c>
      <c r="B2" t="inlineStr">
        <is>
          <t>07082026</t>
        </is>
      </c>
      <c r="C2" t="inlineStr">
        <is>
          <t>AuditoryTraining</t>
        </is>
      </c>
      <c r="D2">
        <v>1</v>
      </c>
      <c r="E2" t="inlineStr">
        <is>
          <t>2026-08-07 10:26:51</t>
        </is>
      </c>
      <c r="F2" t="inlineStr">
        <is>
          <t>2026-08-07 10:26:54</t>
        </is>
      </c>
      <c r="G2">
        <v>3</v>
      </c>
      <c r="H2">
        <v>2.93</v>
      </c>
      <c r="I2">
        <f>IF(G2=0,0,H2/G2*100)</f>
      </c>
      <c r="J2">
        <f>IF(ISNUMBER(SEARCH("auditory",C2)),COUNTIF($C$2:C2,"*auditory*"),"")</f>
      </c>
      <c r="K2">
        <f>IF(ISNUMBER(SEARCH("visual",C2)),COUNTIF($C$2:C2,"*visual*"),"")</f>
      </c>
      <c r="L2">
        <f>IF(COUNT($J$2:J2)=0,"",SUMPRODUCT(($J$2:J2&lt;&gt;""),$I$2:I2,POWER('Session Summary'!$G$2,IF($J$2:J2&lt;&gt;"",COUNT($J$2:J2)-$J$2:J2,0))))</f>
      </c>
      <c r="M2">
        <f>IF(COUNT($J$2:J2)=0,"",SUMPRODUCT(($J$2:J2&lt;&gt;""),POWER('Session Summary'!$G$2,IF($J$2:J2&lt;&gt;"",COUNT($J$2:J2)-$J$2:J2,0))))</f>
      </c>
      <c r="N2">
        <f>IF(M2=0,"",L2/M2)</f>
      </c>
      <c r="O2">
        <f>IF(COUNT($K$2:K2)=0,"",SUMPRODUCT(($K$2:K2&lt;&gt;""),$I$2:I2,POWER('Session Summary'!$G$2,IF($K$2:K2&lt;&gt;"",COUNT($K$2:K2)-$K$2:K2,0))))</f>
      </c>
      <c r="P2">
        <f>IF(COUNT($K$2:K2)=0,"",SUMPRODUCT(($K$2:K2&lt;&gt;""),POWER('Session Summary'!$G$2,IF($K$2:K2&lt;&gt;"",COUNT($K$2:K2)-$K$2:K2,0))))</f>
      </c>
      <c r="Q2">
        <f>IF(P2=0,"",O2/P2)</f>
      </c>
      <c r="R2">
        <v>0.5</v>
      </c>
    </row>
    <row r="3">
      <c r="A3" t="inlineStr">
        <is>
          <t>227177</t>
        </is>
      </c>
      <c r="B3" t="inlineStr">
        <is>
          <t>07082026</t>
        </is>
      </c>
      <c r="C3" t="inlineStr">
        <is>
          <t>AuditoryTraining</t>
        </is>
      </c>
      <c r="D3">
        <v>2</v>
      </c>
      <c r="E3" t="inlineStr">
        <is>
          <t>2026-08-07 10:26:57</t>
        </is>
      </c>
      <c r="F3" t="inlineStr">
        <is>
          <t>2026-08-07 10:27:00</t>
        </is>
      </c>
      <c r="G3">
        <v>3</v>
      </c>
      <c r="H3">
        <v>2.44</v>
      </c>
      <c r="I3">
        <f>IF(G3=0,0,H3/G3*100)</f>
      </c>
      <c r="J3">
        <f>IF(ISNUMBER(SEARCH("auditory",C3)),COUNTIF($C$2:C3,"*auditory*"),"")</f>
      </c>
      <c r="K3">
        <f>IF(ISNUMBER(SEARCH("visual",C3)),COUNTIF($C$2:C3,"*visual*"),"")</f>
      </c>
      <c r="L3">
        <f>IF(COUNT($J$2:J3)=0,"",SUMPRODUCT(($J$2:J3&lt;&gt;""),$I$2:I3,POWER('Session Summary'!$G$2,IF($J$2:J3&lt;&gt;"",COUNT($J$2:J3)-$J$2:J3,0))))</f>
      </c>
      <c r="M3">
        <f>IF(COUNT($J$2:J3)=0,"",SUMPRODUCT(($J$2:J3&lt;&gt;""),POWER('Session Summary'!$G$2,IF($J$2:J3&lt;&gt;"",COUNT($J$2:J3)-$J$2:J3,0))))</f>
      </c>
      <c r="N3">
        <f>IF(M3=0,"",L3/M3)</f>
      </c>
      <c r="O3">
        <f>IF(COUNT($K$2:K3)=0,"",SUMPRODUCT(($K$2:K3&lt;&gt;""),$I$2:I3,POWER('Session Summary'!$G$2,IF($K$2:K3&lt;&gt;"",COUNT($K$2:K3)-$K$2:K3,0))))</f>
      </c>
      <c r="P3">
        <f>IF(COUNT($K$2:K3)=0,"",SUMPRODUCT(($K$2:K3&lt;&gt;""),POWER('Session Summary'!$G$2,IF($K$2:K3&lt;&gt;"",COUNT($K$2:K3)-$K$2:K3,0))))</f>
      </c>
      <c r="Q3">
        <f>IF(P3=0,"",O3/P3)</f>
      </c>
      <c r="R3">
        <v>0.5</v>
      </c>
    </row>
    <row r="4">
      <c r="A4" t="inlineStr">
        <is>
          <t>227177</t>
        </is>
      </c>
      <c r="B4" t="inlineStr">
        <is>
          <t>07082026</t>
        </is>
      </c>
      <c r="C4" t="inlineStr">
        <is>
          <t>AuditoryTraining</t>
        </is>
      </c>
      <c r="D4">
        <v>3</v>
      </c>
      <c r="E4" t="inlineStr">
        <is>
          <t>2026-08-07 10:27:03</t>
        </is>
      </c>
      <c r="F4" t="inlineStr">
        <is>
          <t>2026-08-07 10:27:06</t>
        </is>
      </c>
      <c r="G4">
        <v>3</v>
      </c>
      <c r="H4">
        <v>1.87</v>
      </c>
      <c r="I4">
        <f>IF(G4=0,0,H4/G4*100)</f>
      </c>
      <c r="J4">
        <f>IF(ISNUMBER(SEARCH("auditory",C4)),COUNTIF($C$2:C4,"*auditory*"),"")</f>
      </c>
      <c r="K4">
        <f>IF(ISNUMBER(SEARCH("visual",C4)),COUNTIF($C$2:C4,"*visual*"),"")</f>
      </c>
      <c r="L4">
        <f>IF(COUNT($J$2:J4)=0,"",SUMPRODUCT(($J$2:J4&lt;&gt;""),$I$2:I4,POWER('Session Summary'!$G$2,IF($J$2:J4&lt;&gt;"",COUNT($J$2:J4)-$J$2:J4,0))))</f>
      </c>
      <c r="M4">
        <f>IF(COUNT($J$2:J4)=0,"",SUMPRODUCT(($J$2:J4&lt;&gt;""),POWER('Session Summary'!$G$2,IF($J$2:J4&lt;&gt;"",COUNT($J$2:J4)-$J$2:J4,0))))</f>
      </c>
      <c r="N4">
        <f>IF(M4=0,"",L4/M4)</f>
      </c>
      <c r="O4">
        <f>IF(COUNT($K$2:K4)=0,"",SUMPRODUCT(($K$2:K4&lt;&gt;""),$I$2:I4,POWER('Session Summary'!$G$2,IF($K$2:K4&lt;&gt;"",COUNT($K$2:K4)-$K$2:K4,0))))</f>
      </c>
      <c r="P4">
        <f>IF(COUNT($K$2:K4)=0,"",SUMPRODUCT(($K$2:K4&lt;&gt;""),POWER('Session Summary'!$G$2,IF($K$2:K4&lt;&gt;"",COUNT($K$2:K4)-$K$2:K4,0))))</f>
      </c>
      <c r="Q4">
        <f>IF(P4=0,"",O4/P4)</f>
      </c>
      <c r="R4">
        <v>0.5</v>
      </c>
    </row>
    <row r="5">
      <c r="A5" t="inlineStr">
        <is>
          <t>227177</t>
        </is>
      </c>
      <c r="B5" t="inlineStr">
        <is>
          <t>07082026</t>
        </is>
      </c>
      <c r="C5" t="inlineStr">
        <is>
          <t>VisualTraining</t>
        </is>
      </c>
      <c r="D5">
        <v>4</v>
      </c>
      <c r="E5" t="inlineStr">
        <is>
          <t>2026-08-07 10:27:09</t>
        </is>
      </c>
      <c r="F5" t="inlineStr">
        <is>
          <t>2026-08-07 10:27:12</t>
        </is>
      </c>
      <c r="G5">
        <v>3</v>
      </c>
      <c r="H5">
        <v>1.3</v>
      </c>
      <c r="I5">
        <f>IF(G5=0,0,H5/G5*100)</f>
      </c>
      <c r="J5">
        <f>IF(ISNUMBER(SEARCH("auditory",C5)),COUNTIF($C$2:C5,"*auditory*"),"")</f>
      </c>
      <c r="K5">
        <f>IF(ISNUMBER(SEARCH("visual",C5)),COUNTIF($C$2:C5,"*visual*"),"")</f>
      </c>
      <c r="L5">
        <f>IF(COUNT($J$2:J5)=0,"",SUMPRODUCT(($J$2:J5&lt;&gt;""),$I$2:I5,POWER('Session Summary'!$G$2,IF($J$2:J5&lt;&gt;"",COUNT($J$2:J5)-$J$2:J5,0))))</f>
      </c>
      <c r="M5">
        <f>IF(COUNT($J$2:J5)=0,"",SUMPRODUCT(($J$2:J5&lt;&gt;""),POWER('Session Summary'!$G$2,IF($J$2:J5&lt;&gt;"",COUNT($J$2:J5)-$J$2:J5,0))))</f>
      </c>
      <c r="N5">
        <f>IF(M5=0,"",L5/M5)</f>
      </c>
      <c r="O5">
        <f>IF(COUNT($K$2:K5)=0,"",SUMPRODUCT(($K$2:K5&lt;&gt;""),$I$2:I5,POWER('Session Summary'!$G$2,IF($K$2:K5&lt;&gt;"",COUNT($K$2:K5)-$K$2:K5,0))))</f>
      </c>
      <c r="P5">
        <f>IF(COUNT($K$2:K5)=0,"",SUMPRODUCT(($K$2:K5&lt;&gt;""),POWER('Session Summary'!$G$2,IF($K$2:K5&lt;&gt;"",COUNT($K$2:K5)-$K$2:K5,0))))</f>
      </c>
      <c r="Q5">
        <f>IF(P5=0,"",O5/P5)</f>
      </c>
      <c r="R5">
        <v>0.5</v>
      </c>
    </row>
    <row r="6">
      <c r="A6" t="inlineStr">
        <is>
          <t>227177</t>
        </is>
      </c>
      <c r="B6" t="inlineStr">
        <is>
          <t>07082026</t>
        </is>
      </c>
      <c r="C6" t="inlineStr">
        <is>
          <t>VisualTraining</t>
        </is>
      </c>
      <c r="D6">
        <v>5</v>
      </c>
      <c r="E6" t="inlineStr">
        <is>
          <t>2026-08-07 10:27:15</t>
        </is>
      </c>
      <c r="F6" t="inlineStr">
        <is>
          <t>2026-08-07 10:27:18</t>
        </is>
      </c>
      <c r="G6">
        <v>3</v>
      </c>
      <c r="H6">
        <v>2.57</v>
      </c>
      <c r="I6">
        <f>IF(G6=0,0,H6/G6*100)</f>
      </c>
      <c r="J6">
        <f>IF(ISNUMBER(SEARCH("auditory",C6)),COUNTIF($C$2:C6,"*auditory*"),"")</f>
      </c>
      <c r="K6">
        <f>IF(ISNUMBER(SEARCH("visual",C6)),COUNTIF($C$2:C6,"*visual*"),"")</f>
      </c>
      <c r="L6">
        <f>IF(COUNT($J$2:J6)=0,"",SUMPRODUCT(($J$2:J6&lt;&gt;""),$I$2:I6,POWER('Session Summary'!$G$2,IF($J$2:J6&lt;&gt;"",COUNT($J$2:J6)-$J$2:J6,0))))</f>
      </c>
      <c r="M6">
        <f>IF(COUNT($J$2:J6)=0,"",SUMPRODUCT(($J$2:J6&lt;&gt;""),POWER('Session Summary'!$G$2,IF($J$2:J6&lt;&gt;"",COUNT($J$2:J6)-$J$2:J6,0))))</f>
      </c>
      <c r="N6">
        <f>IF(M6=0,"",L6/M6)</f>
      </c>
      <c r="O6">
        <f>IF(COUNT($K$2:K6)=0,"",SUMPRODUCT(($K$2:K6&lt;&gt;""),$I$2:I6,POWER('Session Summary'!$G$2,IF($K$2:K6&lt;&gt;"",COUNT($K$2:K6)-$K$2:K6,0))))</f>
      </c>
      <c r="P6">
        <f>IF(COUNT($K$2:K6)=0,"",SUMPRODUCT(($K$2:K6&lt;&gt;""),POWER('Session Summary'!$G$2,IF($K$2:K6&lt;&gt;"",COUNT($K$2:K6)-$K$2:K6,0))))</f>
      </c>
      <c r="Q6">
        <f>IF(P6=0,"",O6/P6)</f>
      </c>
      <c r="R6">
        <v>0.5</v>
      </c>
    </row>
    <row r="7">
      <c r="A7" t="inlineStr">
        <is>
          <t>227177</t>
        </is>
      </c>
      <c r="B7" t="inlineStr">
        <is>
          <t>07082026</t>
        </is>
      </c>
      <c r="C7" t="inlineStr">
        <is>
          <t>AuditoryTraining</t>
        </is>
      </c>
      <c r="D7">
        <v>6</v>
      </c>
      <c r="E7" t="inlineStr">
        <is>
          <t>2026-08-07 10:27:20</t>
        </is>
      </c>
      <c r="F7" t="inlineStr">
        <is>
          <t>2026-08-07 10:27:23</t>
        </is>
      </c>
      <c r="G7">
        <v>3</v>
      </c>
      <c r="H7">
        <v>2.36</v>
      </c>
      <c r="I7">
        <f>IF(G7=0,0,H7/G7*100)</f>
      </c>
      <c r="J7">
        <f>IF(ISNUMBER(SEARCH("auditory",C7)),COUNTIF($C$2:C7,"*auditory*"),"")</f>
      </c>
      <c r="K7">
        <f>IF(ISNUMBER(SEARCH("visual",C7)),COUNTIF($C$2:C7,"*visual*"),"")</f>
      </c>
      <c r="L7">
        <f>IF(COUNT($J$2:J7)=0,"",SUMPRODUCT(($J$2:J7&lt;&gt;""),$I$2:I7,POWER('Session Summary'!$G$2,IF($J$2:J7&lt;&gt;"",COUNT($J$2:J7)-$J$2:J7,0))))</f>
      </c>
      <c r="M7">
        <f>IF(COUNT($J$2:J7)=0,"",SUMPRODUCT(($J$2:J7&lt;&gt;""),POWER('Session Summary'!$G$2,IF($J$2:J7&lt;&gt;"",COUNT($J$2:J7)-$J$2:J7,0))))</f>
      </c>
      <c r="N7">
        <f>IF(M7=0,"",L7/M7)</f>
      </c>
      <c r="O7">
        <f>IF(COUNT($K$2:K7)=0,"",SUMPRODUCT(($K$2:K7&lt;&gt;""),$I$2:I7,POWER('Session Summary'!$G$2,IF($K$2:K7&lt;&gt;"",COUNT($K$2:K7)-$K$2:K7,0))))</f>
      </c>
      <c r="P7">
        <f>IF(COUNT($K$2:K7)=0,"",SUMPRODUCT(($K$2:K7&lt;&gt;""),POWER('Session Summary'!$G$2,IF($K$2:K7&lt;&gt;"",COUNT($K$2:K7)-$K$2:K7,0))))</f>
      </c>
      <c r="Q7">
        <f>IF(P7=0,"",O7/P7)</f>
      </c>
      <c r="R7">
        <v>0.5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Unity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Training session summary</dc:title>
  <dc:creator>Unity Training Session Logger</dc:creator>
  <dcterms:created xsi:type="dcterms:W3CDTF">2026-08-06T22:27:25.9703819Z</dcterms:created>
  <dcterms:modified xsi:type="dcterms:W3CDTF">2026-08-06T22:27:25.9703819Z</dcterms:modified>
</cp:coreProperties>
</file>