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  <calcPr calcMode="auto" fullCalcOnLoad="1" forceFullCalc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  <col min="8" max="8" width="24" customWidth="1"/>
    <col min="9" max="9" width="20" customWidth="1"/>
    <col min="10" max="10" width="24" customWidth="1"/>
    <col min="11" max="11" width="20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  <c r="H1" t="inlineStr" s="1">
        <is>
          <t>auditory weighted sum</t>
        </is>
      </c>
      <c r="I1" t="inlineStr" s="1">
        <is>
          <t>auditory weight sum</t>
        </is>
      </c>
      <c r="J1" t="inlineStr" s="1">
        <is>
          <t>visual weighted sum</t>
        </is>
      </c>
      <c r="K1" t="inlineStr" s="1">
        <is>
          <t>visual weight sum</t>
        </is>
      </c>
    </row>
    <row r="2">
      <c r="A2" t="inlineStr">
        <is>
          <t>574185</t>
        </is>
      </c>
      <c r="B2" t="inlineStr">
        <is>
          <t>24082026</t>
        </is>
      </c>
      <c r="C2">
        <f>IFERROR(AVERAGEIF('Training Runs'!$C:$C,"*auditory*",'Training Runs'!$H:$H),"")</f>
      </c>
      <c r="D2">
        <f>IFERROR(AVERAGEIF('Training Runs'!$C:$C,"*visual*",'Training Runs'!$H:$H),"")</f>
        <v>21</v>
      </c>
      <c r="E2" t="inlineStr">
        <is>
          <t>2026-08-24 15:38:21</t>
        </is>
      </c>
      <c r="F2" t="inlineStr">
        <is>
          <t>2026-08-24 15:38:21</t>
        </is>
      </c>
      <c r="G2">
        <v>0.7</v>
      </c>
      <c r="H2">
        <f>'Training Runs'!M2</f>
        <v>0</v>
      </c>
      <c r="I2">
        <f>'Training Runs'!N2</f>
        <v>0</v>
      </c>
      <c r="J2">
        <f>'Training Runs'!P2</f>
        <v>39.38609</v>
      </c>
      <c r="K2">
        <f>'Training Runs'!Q2</f>
        <v>1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f>IF(ISNUMBER(SEARCH("auditory",'Training Runs'!C2)),'Training Runs'!J2,"")</f>
      </c>
      <c r="C7">
        <f>IF(ISNUMBER(SEARCH("visual",'Training Runs'!C2)),'Training Runs'!J2,"")</f>
        <v>39.38609</v>
      </c>
      <c r="D7">
        <f>'Training Runs'!O2</f>
      </c>
      <c r="E7">
        <f>'Training Runs'!R2</f>
        <v>39.38609</v>
      </c>
      <c r="F7" t="inlineStr">
        <is>
          <t>15:38:21</t>
        </is>
      </c>
    </row>
    <row r="9">
      <c r="A9" t="inlineStr" s="1">
        <is>
          <t>Raw average</t>
        </is>
      </c>
      <c r="B9">
        <f>IFERROR(AVERAGEIF('Training Runs'!$C:$C,"*auditory*",'Training Runs'!$J:$J),"")</f>
      </c>
      <c r="C9">
        <f>IFERROR(AVERAGEIF('Training Runs'!$C:$C,"*visual*",'Training Runs'!$J:$J),"")</f>
        <v>39.38609</v>
      </c>
      <c r="D9"/>
      <c r="E9"/>
      <c r="F9"/>
    </row>
    <row r="10">
      <c r="A10" t="inlineStr" s="1">
        <is>
          <t>Weighted average</t>
        </is>
      </c>
      <c r="B10"/>
      <c r="C10"/>
      <c r="D10">
        <f>'Training Runs'!O2</f>
      </c>
      <c r="E10">
        <f>'Training Runs'!R2</f>
        <v>39.38609</v>
      </c>
      <c r="F10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20" customWidth="1"/>
    <col min="5" max="5" width="10" customWidth="1"/>
    <col min="6" max="6" width="22" customWidth="1"/>
    <col min="7" max="7" width="22" customWidth="1"/>
    <col min="8" max="8" width="16" customWidth="1"/>
    <col min="9" max="9" width="16" customWidth="1"/>
    <col min="10" max="10" width="18" customWidth="1"/>
    <col min="11" max="11" width="18" customWidth="1"/>
    <col min="12" max="12" width="16" customWidth="1"/>
    <col min="13" max="13" width="24" customWidth="1"/>
    <col min="14" max="14" width="18" customWidth="1"/>
    <col min="15" max="15" width="26" customWidth="1"/>
    <col min="16" max="16" width="22" customWidth="1"/>
    <col min="17" max="17" width="18" customWidth="1"/>
    <col min="18" max="18" width="24" customWidth="1"/>
    <col min="19" max="19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training scene</t>
        </is>
      </c>
      <c r="E1" t="inlineStr" s="1">
        <is>
          <t>run</t>
        </is>
      </c>
      <c r="F1" t="inlineStr" s="1">
        <is>
          <t>started timestamp</t>
        </is>
      </c>
      <c r="G1" t="inlineStr" s="1">
        <is>
          <t>ended timestamp</t>
        </is>
      </c>
      <c r="H1" t="inlineStr" s="1">
        <is>
          <t>duration seconds</t>
        </is>
      </c>
      <c r="I1" t="inlineStr" s="1">
        <is>
          <t>focused seconds</t>
        </is>
      </c>
      <c r="J1" t="inlineStr" s="1">
        <is>
          <t>focused percentage</t>
        </is>
      </c>
      <c r="K1" t="inlineStr" s="1">
        <is>
          <t>auditory run index</t>
        </is>
      </c>
      <c r="L1" t="inlineStr" s="1">
        <is>
          <t>visual run index</t>
        </is>
      </c>
      <c r="M1" t="inlineStr" s="1">
        <is>
          <t>auditory weighted sum</t>
        </is>
      </c>
      <c r="N1" t="inlineStr" s="1">
        <is>
          <t>auditory weight sum</t>
        </is>
      </c>
      <c r="O1" t="inlineStr" s="1">
        <is>
          <t>auditory weighted average</t>
        </is>
      </c>
      <c r="P1" t="inlineStr" s="1">
        <is>
          <t>visual weighted sum</t>
        </is>
      </c>
      <c r="Q1" t="inlineStr" s="1">
        <is>
          <t>visual weight sum</t>
        </is>
      </c>
      <c r="R1" t="inlineStr" s="1">
        <is>
          <t>visual weighted average</t>
        </is>
      </c>
      <c r="S1" t="inlineStr" s="1">
        <is>
          <t>hrv threshold</t>
        </is>
      </c>
    </row>
    <row r="2">
      <c r="A2" t="inlineStr">
        <is>
          <t>574185</t>
        </is>
      </c>
      <c r="B2" t="inlineStr">
        <is>
          <t>24082026</t>
        </is>
      </c>
      <c r="C2" t="inlineStr">
        <is>
          <t>VisualTraining</t>
        </is>
      </c>
      <c r="D2" t="inlineStr">
        <is>
          <t>Train</t>
        </is>
      </c>
      <c r="E2">
        <v>1</v>
      </c>
      <c r="F2" t="inlineStr">
        <is>
          <t>2026-08-24 15:38:00</t>
        </is>
      </c>
      <c r="G2" t="inlineStr">
        <is>
          <t>2026-08-24 15:38:21</t>
        </is>
      </c>
      <c r="H2">
        <v>21</v>
      </c>
      <c r="I2">
        <v>8.27</v>
      </c>
      <c r="J2">
        <f>IF(H2=0,0,I2/H2*100)</f>
        <v>39.38609</v>
      </c>
      <c r="K2">
        <f>IF(ISNUMBER(SEARCH("auditory",C2)),COUNTIF($C$2:C2,"*auditory*"),"")</f>
      </c>
      <c r="L2">
        <f>IF(ISNUMBER(SEARCH("visual",C2)),COUNTIF($C$2:C2,"*visual*"),"")</f>
        <v>1</v>
      </c>
      <c r="M2">
        <f>IF(ISNUMBER(SEARCH("auditory",C2)),J2,0)</f>
        <v>0</v>
      </c>
      <c r="N2">
        <f>IF(ISNUMBER(SEARCH("auditory",C2)),1,0)</f>
        <v>0</v>
      </c>
      <c r="O2">
        <f>IF(N2=0,"",M2/N2)</f>
      </c>
      <c r="P2">
        <f>IF(ISNUMBER(SEARCH("visual",C2)),J2,0)</f>
        <v>39.38609</v>
      </c>
      <c r="Q2">
        <f>IF(ISNUMBER(SEARCH("visual",C2)),1,0)</f>
        <v>1</v>
      </c>
      <c r="R2">
        <f>IF(Q2=0,"",P2/Q2)</f>
        <v>39.38609</v>
      </c>
      <c r="S2">
        <v>0.9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2026-08-24T03:38:23.5370717Z</dcterms:created>
  <dcterms:modified xsi:type="dcterms:W3CDTF">2026-08-24T03:38:23.5370717Z</dcterms:modified>
</cp:coreProperties>
</file>