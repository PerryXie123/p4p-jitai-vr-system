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368517</t>
        </is>
      </c>
      <c r="B2" t="inlineStr">
        <is>
          <t>24082026</t>
        </is>
      </c>
      <c r="C2">
        <f>IFERROR(AVERAGEIF('Training Runs'!$C:$C,"*auditory*",'Training Runs'!$H:$H),"")</f>
      </c>
      <c r="D2">
        <f>IFERROR(AVERAGEIF('Training Runs'!$C:$C,"*visual*",'Training Runs'!$H:$H),"")</f>
        <v>21</v>
      </c>
      <c r="E2" t="inlineStr">
        <is>
          <t>2026-08-24 15:23:03</t>
        </is>
      </c>
      <c r="F2" t="inlineStr">
        <is>
          <t>2026-08-24 15:23:31</t>
        </is>
      </c>
      <c r="G2">
        <v>0.7</v>
      </c>
      <c r="H2">
        <f>'Training Runs'!M3</f>
        <v>0</v>
      </c>
      <c r="I2">
        <f>'Training Runs'!N3</f>
        <v>0</v>
      </c>
      <c r="J2">
        <f>'Training Runs'!P3</f>
        <v>80.69955</v>
      </c>
      <c r="K2">
        <f>'Training Runs'!Q3</f>
        <v>1.7</v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f>IF(ISNUMBER(SEARCH("auditory",'Training Runs'!C2)),'Training Runs'!J2,"")</f>
      </c>
      <c r="C7">
        <f>IF(ISNUMBER(SEARCH("visual",'Training Runs'!C2)),'Training Runs'!J2,"")</f>
        <v>44.45174</v>
      </c>
      <c r="D7">
        <f>'Training Runs'!O2</f>
      </c>
      <c r="E7">
        <f>'Training Runs'!R2</f>
        <v>44.45174</v>
      </c>
      <c r="F7" t="inlineStr">
        <is>
          <t>15:23:03</t>
        </is>
      </c>
    </row>
    <row r="8">
      <c r="A8"/>
      <c r="B8">
        <f>IF(ISNUMBER(SEARCH("auditory",'Training Runs'!C3)),'Training Runs'!J3,"")</f>
      </c>
      <c r="C8">
        <f>IF(ISNUMBER(SEARCH("visual",'Training Runs'!C3)),'Training Runs'!J3,"")</f>
        <v>49.58334</v>
      </c>
      <c r="D8">
        <f>'Training Runs'!O3</f>
      </c>
      <c r="E8">
        <f>'Training Runs'!R3</f>
        <v>47.47033</v>
      </c>
      <c r="F8" t="inlineStr">
        <is>
          <t>15:23:31</t>
        </is>
      </c>
    </row>
    <row r="10">
      <c r="A10" t="inlineStr" s="1">
        <is>
          <t>Raw average</t>
        </is>
      </c>
      <c r="B10">
        <f>IFERROR(AVERAGEIF('Training Runs'!$C:$C,"*auditory*",'Training Runs'!$J:$J),"")</f>
      </c>
      <c r="C10">
        <f>IFERROR(AVERAGEIF('Training Runs'!$C:$C,"*visual*",'Training Runs'!$J:$J),"")</f>
        <v>47.01754</v>
      </c>
      <c r="D10"/>
      <c r="E10"/>
      <c r="F10"/>
    </row>
    <row r="11">
      <c r="A11" t="inlineStr" s="1">
        <is>
          <t>Weighted average</t>
        </is>
      </c>
      <c r="B11"/>
      <c r="C11"/>
      <c r="D11">
        <f>'Training Runs'!O3</f>
      </c>
      <c r="E11">
        <f>'Training Runs'!R3</f>
        <v>47.47033</v>
      </c>
      <c r="F11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  <row r="2">
      <c r="A2" t="inlineStr">
        <is>
          <t>368517</t>
        </is>
      </c>
      <c r="B2" t="inlineStr">
        <is>
          <t>24082026</t>
        </is>
      </c>
      <c r="C2" t="inlineStr">
        <is>
          <t>VisualTraining</t>
        </is>
      </c>
      <c r="D2" t="inlineStr">
        <is>
          <t>Train</t>
        </is>
      </c>
      <c r="E2">
        <v>1</v>
      </c>
      <c r="F2" t="inlineStr">
        <is>
          <t>2026-08-24 15:22:42</t>
        </is>
      </c>
      <c r="G2" t="inlineStr">
        <is>
          <t>2026-08-24 15:23:03</t>
        </is>
      </c>
      <c r="H2">
        <v>21</v>
      </c>
      <c r="I2">
        <v>9.33</v>
      </c>
      <c r="J2">
        <f>IF(H2=0,0,I2/H2*100)</f>
        <v>44.45174</v>
      </c>
      <c r="K2">
        <f>IF(ISNUMBER(SEARCH("auditory",C2)),COUNTIF($C$2:C2,"*auditory*"),"")</f>
      </c>
      <c r="L2">
        <f>IF(ISNUMBER(SEARCH("visual",C2)),COUNTIF($C$2:C2,"*visual*"),"")</f>
        <v>1</v>
      </c>
      <c r="M2">
        <f>IF(ISNUMBER(SEARCH("auditory",C2)),J2,0)</f>
        <v>0</v>
      </c>
      <c r="N2">
        <f>IF(ISNUMBER(SEARCH("auditory",C2)),1,0)</f>
        <v>0</v>
      </c>
      <c r="O2">
        <f>IF(N2=0,"",M2/N2)</f>
      </c>
      <c r="P2">
        <f>IF(ISNUMBER(SEARCH("visual",C2)),J2,0)</f>
        <v>44.45174</v>
      </c>
      <c r="Q2">
        <f>IF(ISNUMBER(SEARCH("visual",C2)),1,0)</f>
        <v>1</v>
      </c>
      <c r="R2">
        <f>IF(Q2=0,"",P2/Q2)</f>
        <v>44.45174</v>
      </c>
      <c r="S2">
        <v>0.9</v>
      </c>
    </row>
    <row r="3">
      <c r="A3" t="inlineStr">
        <is>
          <t>368517</t>
        </is>
      </c>
      <c r="B3" t="inlineStr">
        <is>
          <t>24082026</t>
        </is>
      </c>
      <c r="C3" t="inlineStr">
        <is>
          <t>VisualTraining</t>
        </is>
      </c>
      <c r="D3" t="inlineStr">
        <is>
          <t>Train</t>
        </is>
      </c>
      <c r="E3">
        <v>2</v>
      </c>
      <c r="F3" t="inlineStr">
        <is>
          <t>2026-08-24 15:23:10</t>
        </is>
      </c>
      <c r="G3" t="inlineStr">
        <is>
          <t>2026-08-24 15:23:31</t>
        </is>
      </c>
      <c r="H3">
        <v>21</v>
      </c>
      <c r="I3">
        <v>10.41</v>
      </c>
      <c r="J3">
        <f>IF(H3=0,0,I3/H3*100)</f>
        <v>49.58334</v>
      </c>
      <c r="K3">
        <f>IF(ISNUMBER(SEARCH("auditory",C3)),COUNTIF($C$2:C3,"*auditory*"),"")</f>
      </c>
      <c r="L3">
        <f>IF(ISNUMBER(SEARCH("visual",C3)),COUNTIF($C$2:C3,"*visual*"),"")</f>
        <v>2</v>
      </c>
      <c r="M3">
        <f>IF(ISNUMBER(SEARCH("auditory",C3)),J3+'Session Summary'!$G$2*M2,M2)</f>
        <v>0</v>
      </c>
      <c r="N3">
        <f>IF(ISNUMBER(SEARCH("auditory",C3)),1+'Session Summary'!$G$2*N2,N2)</f>
        <v>0</v>
      </c>
      <c r="O3">
        <f>IF(N3=0,"",M3/N3)</f>
      </c>
      <c r="P3">
        <f>IF(ISNUMBER(SEARCH("visual",C3)),J3+'Session Summary'!$G$2*P2,P2)</f>
        <v>80.69955</v>
      </c>
      <c r="Q3">
        <f>IF(ISNUMBER(SEARCH("visual",C3)),1+'Session Summary'!$G$2*Q2,Q2)</f>
        <v>1.7</v>
      </c>
      <c r="R3">
        <f>IF(Q3=0,"",P3/Q3)</f>
        <v>47.47033</v>
      </c>
      <c r="S3">
        <v>0.9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2026-08-24T03:23:34.095797Z</dcterms:created>
  <dcterms:modified xsi:type="dcterms:W3CDTF">2026-08-24T03:23:34.095797Z</dcterms:modified>
</cp:coreProperties>
</file>